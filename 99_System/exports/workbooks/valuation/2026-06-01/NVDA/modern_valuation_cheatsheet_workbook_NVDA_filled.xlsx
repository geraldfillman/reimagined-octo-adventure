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Graham &amp; Multiples" sheetId="4" state="visible" r:id="rId4"/>
    <sheet xmlns:r="http://schemas.openxmlformats.org/officeDocument/2006/relationships" name="DCF Calculator" sheetId="5" state="visible" r:id="rId5"/>
    <sheet xmlns:r="http://schemas.openxmlformats.org/officeDocument/2006/relationships" name="Quality &amp; Growth" sheetId="6" state="visible" r:id="rId6"/>
    <sheet xmlns:r="http://schemas.openxmlformats.org/officeDocument/2006/relationships" name="Residual &amp; Justified" sheetId="7" state="visible" r:id="rId7"/>
    <sheet xmlns:r="http://schemas.openxmlformats.org/officeDocument/2006/relationships" name="Balance Safety" sheetId="8" state="visible" r:id="rId8"/>
    <sheet xmlns:r="http://schemas.openxmlformats.org/officeDocument/2006/relationships" name="Checklist" sheetId="9" state="visible" r:id="rId9"/>
    <sheet xmlns:r="http://schemas.openxmlformats.org/officeDocument/2006/relationships" name="Sources &amp; Notes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\$#,##0.00;[Red]\(\$#,##0.00\);\-"/>
    <numFmt numFmtId="165" formatCode="#,##0.0;[Red]\(#,##0.0\);\-"/>
    <numFmt numFmtId="166" formatCode="\$#,##0.0;[Red]\(\$#,##0.0\);\-"/>
    <numFmt numFmtId="167" formatCode="0.0%;[Red]\(0.0%\);\-"/>
    <numFmt numFmtId="168" formatCode="0.0\x;[Red]\(0.0\x\);\-"/>
    <numFmt numFmtId="169" formatCode="0.000;[Red]\(0.000\);\-"/>
    <numFmt numFmtId="170" formatCode="0.0%"/>
    <numFmt numFmtId="171" formatCode="0.0x"/>
    <numFmt numFmtId="172" formatCode="$0.00"/>
    <numFmt numFmtId="173" formatCode="#,##0.0"/>
  </numFmts>
  <fonts count="14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0"/>
    </font>
    <font>
      <name val="Carlito"/>
      <sz val="10"/>
    </font>
    <font>
      <name val="Carlito"/>
      <color rgb="FF0000FF"/>
      <sz val="10"/>
    </font>
    <font>
      <name val="Carlito"/>
      <color rgb="FF000000"/>
      <sz val="10"/>
    </font>
    <font>
      <name val="Carlito"/>
      <color rgb="FF008000"/>
      <sz val="10"/>
    </font>
    <font>
      <name val="Carlito"/>
      <b val="1"/>
      <color rgb="FF92400E"/>
      <sz val="10"/>
    </font>
    <font>
      <name val="Carlito"/>
      <b val="1"/>
      <sz val="10"/>
    </font>
    <font>
      <name val="Carlito"/>
      <color rgb="FF475569"/>
      <sz val="10"/>
    </font>
    <font>
      <name val="Carlito"/>
      <b val="1"/>
      <color rgb="FF008000"/>
      <sz val="10"/>
    </font>
    <font>
      <name val="Carlito"/>
      <b val="1"/>
      <color rgb="FF000000"/>
      <sz val="10"/>
    </font>
    <font>
      <name val="Carlito"/>
      <color rgb="FF92400E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F172A"/>
      </patternFill>
    </fill>
    <fill>
      <patternFill patternType="solid">
        <fgColor rgb="FFFFF2CC"/>
      </patternFill>
    </fill>
    <fill>
      <patternFill patternType="solid">
        <fgColor rgb="FFFEF3C7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4" fillId="4" borderId="0" applyAlignment="1" pivotButton="0" quotePrefix="0" xfId="0">
      <alignment horizontal="left"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8" fillId="0" borderId="0" pivotButton="0" quotePrefix="0" xfId="0"/>
    <xf numFmtId="0" fontId="4" fillId="4" borderId="0" applyAlignment="1" pivotButton="0" quotePrefix="0" xfId="0">
      <alignment horizontal="left"/>
    </xf>
    <xf numFmtId="0" fontId="9" fillId="0" borderId="0" applyAlignment="1" pivotButton="0" quotePrefix="0" xfId="0">
      <alignment vertical="top" wrapText="1"/>
    </xf>
    <xf numFmtId="164" fontId="4" fillId="4" borderId="0" applyAlignment="1" pivotButton="0" quotePrefix="0" xfId="0">
      <alignment horizontal="left"/>
    </xf>
    <xf numFmtId="165" fontId="4" fillId="4" borderId="0" applyAlignment="1" pivotButton="0" quotePrefix="0" xfId="0">
      <alignment horizontal="left"/>
    </xf>
    <xf numFmtId="166" fontId="5" fillId="0" borderId="0" applyAlignment="1" pivotButton="0" quotePrefix="0" xfId="0">
      <alignment horizontal="right"/>
    </xf>
    <xf numFmtId="166" fontId="4" fillId="4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167" fontId="4" fillId="4" borderId="0" applyAlignment="1" pivotButton="0" quotePrefix="0" xfId="0">
      <alignment horizontal="right"/>
    </xf>
    <xf numFmtId="168" fontId="4" fillId="4" borderId="0" applyAlignment="1" pivotButton="0" quotePrefix="0" xfId="0">
      <alignment horizontal="right"/>
    </xf>
    <xf numFmtId="0" fontId="8" fillId="6" borderId="0" applyAlignment="1" pivotButton="0" quotePrefix="0" xfId="0">
      <alignment vertical="center"/>
    </xf>
    <xf numFmtId="0" fontId="10" fillId="6" borderId="0" applyAlignment="1" pivotButton="0" quotePrefix="0" xfId="0">
      <alignment horizontal="right" vertical="center"/>
    </xf>
    <xf numFmtId="164" fontId="8" fillId="6" borderId="0" applyAlignment="1" pivotButton="0" quotePrefix="0" xfId="0">
      <alignment vertical="center"/>
    </xf>
    <xf numFmtId="164" fontId="6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center" wrapText="1"/>
    </xf>
    <xf numFmtId="164" fontId="6" fillId="0" borderId="0" applyAlignment="1" pivotButton="0" quotePrefix="0" xfId="0">
      <alignment horizontal="right"/>
    </xf>
    <xf numFmtId="0" fontId="11" fillId="7" borderId="0" applyAlignment="1" pivotButton="0" quotePrefix="0" xfId="0">
      <alignment horizontal="center" vertical="center" wrapText="1"/>
    </xf>
    <xf numFmtId="167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7" fontId="6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8" fontId="5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169" fontId="3" fillId="0" borderId="0" pivotButton="0" quotePrefix="0" xfId="0"/>
    <xf numFmtId="0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0" fontId="1" fillId="0" borderId="0" pivotButton="0" quotePrefix="0" xfId="0"/>
    <xf numFmtId="166" fontId="5" fillId="4" borderId="0" applyAlignment="1" pivotButton="0" quotePrefix="0" xfId="0">
      <alignment horizontal="right"/>
    </xf>
    <xf numFmtId="167" fontId="5" fillId="0" borderId="0" applyAlignment="1" pivotButton="0" quotePrefix="0" xfId="0">
      <alignment horizontal="right" wrapText="1"/>
    </xf>
    <xf numFmtId="0" fontId="8" fillId="6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7" fillId="5" borderId="0" applyAlignment="1" pivotButton="0" quotePrefix="0" xfId="0">
      <alignment wrapText="1"/>
    </xf>
    <xf numFmtId="0" fontId="11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2" fillId="5" borderId="0" applyAlignment="1" pivotButton="0" quotePrefix="0" xfId="0">
      <alignment vertical="top" wrapText="1"/>
    </xf>
    <xf numFmtId="0" fontId="4" fillId="9" borderId="0" applyAlignment="1" pivotButton="0" quotePrefix="0" xfId="0">
      <alignment horizontal="left"/>
    </xf>
    <xf numFmtId="172" fontId="4" fillId="9" borderId="0" applyAlignment="1" pivotButton="0" quotePrefix="0" xfId="0">
      <alignment horizontal="left"/>
    </xf>
    <xf numFmtId="173" fontId="4" fillId="9" borderId="0" applyAlignment="1" pivotButton="0" quotePrefix="0" xfId="0">
      <alignment horizontal="left"/>
    </xf>
    <xf numFmtId="166" fontId="5" fillId="11" borderId="0" applyAlignment="1" pivotButton="0" quotePrefix="0" xfId="0">
      <alignment horizontal="right"/>
    </xf>
    <xf numFmtId="173" fontId="5" fillId="9" borderId="0" applyAlignment="1" pivotButton="0" quotePrefix="0" xfId="0">
      <alignment horizontal="right"/>
    </xf>
    <xf numFmtId="172" fontId="4" fillId="9" borderId="0" applyAlignment="1" pivotButton="0" quotePrefix="0" xfId="0">
      <alignment horizontal="right"/>
    </xf>
    <xf numFmtId="173" fontId="4" fillId="9" borderId="0" applyAlignment="1" pivotButton="0" quotePrefix="0" xfId="0">
      <alignment horizontal="right"/>
    </xf>
    <xf numFmtId="170" fontId="4" fillId="9" borderId="0" applyAlignment="1" pivotButton="0" quotePrefix="0" xfId="0">
      <alignment horizontal="right"/>
    </xf>
    <xf numFmtId="170" fontId="4" fillId="10" borderId="0" applyAlignment="1" pivotButton="0" quotePrefix="0" xfId="0">
      <alignment horizontal="right"/>
    </xf>
    <xf numFmtId="171" fontId="4" fillId="9" borderId="0" applyAlignment="1" pivotButton="0" quotePrefix="0" xfId="0">
      <alignment horizontal="right"/>
    </xf>
    <xf numFmtId="0" fontId="4" fillId="10" borderId="0" applyAlignment="1" pivotButton="0" quotePrefix="0" xfId="0">
      <alignment horizontal="left"/>
    </xf>
    <xf numFmtId="0" fontId="1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dxfs count="1">
    <dxf>
      <font>
        <color rgb="FFB91C1C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Fair Value per Share by Method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Value / Share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Dashboard!$A$7:$A$15</f>
              <strCache>
                <ptCount val="9"/>
                <pt idx="0">
                  <v>Graham adjusted growth formula</v>
                </pt>
                <pt idx="1">
                  <v>Single-stage FCF perpetuity</v>
                </pt>
                <pt idx="2">
                  <v>5-year FCF/share DCF</v>
                </pt>
                <pt idx="3">
                  <v>Residual income</v>
                </pt>
                <pt idx="4">
                  <v>Justified P/E</v>
                </pt>
                <pt idx="5">
                  <v>Justified P/B</v>
                </pt>
                <pt idx="6">
                  <v>Target P/E</v>
                </pt>
                <pt idx="7">
                  <v>Target EV/EBIT</v>
                </pt>
                <pt idx="8">
                  <v>Target EV/EBITDA</v>
                </pt>
              </strCache>
            </strRef>
          </cat>
          <val>
            <numRef>
              <f>Dashboard!$B$7:$B$15</f>
              <numCache>
                <formatCode>\$#,##0.00;[Red]\(\$#,##0.00\);\-</formatCode>
                <ptCount val="9"/>
                <pt idx="0">
                  <v>68.60000000000001</v>
                </pt>
                <pt idx="1">
                  <v>71.33333333333334</v>
                </pt>
                <pt idx="2">
                  <v>75.47502053388183</v>
                </pt>
                <pt idx="3">
                  <v>42.28571428571428</v>
                </pt>
                <pt idx="4">
                  <v>17.5</v>
                </pt>
                <pt idx="5">
                  <v>42.28571428571428</v>
                </pt>
                <pt idx="6">
                  <v>63</v>
                </pt>
                <pt idx="7">
                  <v>892.3203963666392</v>
                </pt>
                <pt idx="8">
                  <v>888.6044591246904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\$#,##0.00;[Red]\(\$#,##0.00\);\-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Forecast FCF per Share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Year 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'DCF Calculator'!$B$18:$B$19</f>
              <strCache>
                <ptCount val="2"/>
                <pt idx="0">
                  <v>-</v>
                </pt>
                <pt idx="1">
                  <v>$4.00</v>
                </pt>
              </strCache>
            </strRef>
          </cat>
          <val>
            <numRef>
              <f>'DCF Calculator'!$C$18:$C$19</f>
              <numCache>
                <formatCode>\$#,##0.00;[Red]\(\$#,##0.00\);\-</formatCode>
                <ptCount val="2"/>
                <pt idx="0">
                  <formatCode>0.0%;[Red]\(0.0%\);\-</formatCode>
                  <v>0.07000000000000001</v>
                </pt>
                <pt idx="1">
                  <v>4.28</v>
                </pt>
              </numCache>
            </numRef>
          </val>
          <smooth val="0"/>
        </ser>
        <ser>
          <idx val="1"/>
          <order val="1"/>
          <tx>
            <v>Year 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'DCF Calculator'!$B$18:$B$19</f>
              <strCache>
                <ptCount val="2"/>
                <pt idx="0">
                  <v>-</v>
                </pt>
                <pt idx="1">
                  <v>$4.00</v>
                </pt>
              </strCache>
            </strRef>
          </cat>
          <val>
            <numRef>
              <f>'DCF Calculator'!$D$18:$D$19</f>
              <numCache>
                <formatCode>\$#,##0.00;[Red]\(\$#,##0.00\);\-</formatCode>
                <ptCount val="2"/>
                <pt idx="0">
                  <formatCode>0.0%;[Red]\(0.0%\);\-</formatCode>
                  <v>0.06</v>
                </pt>
                <pt idx="1">
                  <v>4.5368</v>
                </pt>
              </numCache>
            </numRef>
          </val>
          <smooth val="0"/>
        </ser>
        <ser>
          <idx val="2"/>
          <order val="2"/>
          <tx>
            <v>Year 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'DCF Calculator'!$B$18:$B$19</f>
              <strCache>
                <ptCount val="2"/>
                <pt idx="0">
                  <v>-</v>
                </pt>
                <pt idx="1">
                  <v>$4.00</v>
                </pt>
              </strCache>
            </strRef>
          </cat>
          <val>
            <numRef>
              <f>'DCF Calculator'!$E$18:$E$19</f>
              <numCache>
                <formatCode>\$#,##0.00;[Red]\(\$#,##0.00\);\-</formatCode>
                <ptCount val="2"/>
                <pt idx="0">
                  <formatCode>0.0%;[Red]\(0.0%\);\-</formatCode>
                  <v>0.05</v>
                </pt>
                <pt idx="1">
                  <v>4.763640000000001</v>
                </pt>
              </numCache>
            </numRef>
          </val>
          <smooth val="0"/>
        </ser>
        <ser>
          <idx val="3"/>
          <order val="3"/>
          <tx>
            <v>Year 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'DCF Calculator'!$B$18:$B$19</f>
              <strCache>
                <ptCount val="2"/>
                <pt idx="0">
                  <v>-</v>
                </pt>
                <pt idx="1">
                  <v>$4.00</v>
                </pt>
              </strCache>
            </strRef>
          </cat>
          <val>
            <numRef>
              <f>'DCF Calculator'!$F$18:$F$19</f>
              <numCache>
                <formatCode>\$#,##0.00;[Red]\(\$#,##0.00\);\-</formatCode>
                <ptCount val="2"/>
                <pt idx="0">
                  <formatCode>0.0%;[Red]\(0.0%\);\-</formatCode>
                  <v>0.04</v>
                </pt>
                <pt idx="1">
                  <v>4.954185600000001</v>
                </pt>
              </numCache>
            </numRef>
          </val>
          <smooth val="0"/>
        </ser>
        <ser>
          <idx val="4"/>
          <order val="4"/>
          <tx>
            <v>Year 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'DCF Calculator'!$B$18:$B$19</f>
              <strCache>
                <ptCount val="2"/>
                <pt idx="0">
                  <v>-</v>
                </pt>
                <pt idx="1">
                  <v>$4.00</v>
                </pt>
              </strCache>
            </strRef>
          </cat>
          <val>
            <numRef>
              <f>'DCF Calculator'!$G$18:$G$19</f>
              <numCache>
                <formatCode>\$#,##0.00;[Red]\(\$#,##0.00\);\-</formatCode>
                <ptCount val="2"/>
                <pt idx="0">
                  <formatCode>0.0%;[Red]\(0.0%\);\-</formatCode>
                  <v>0.035</v>
                </pt>
                <pt idx="1">
                  <v>5.127582096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%;[Red]\(0.0%\);\-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omments/comment1.xml><?xml version="1.0" encoding="utf-8"?>
<comments xmlns="http://schemas.openxmlformats.org/spreadsheetml/2006/main">
  <authors>
    <author>Codex</author>
  </authors>
  <commentList>
    <comment ref="B7" authorId="0" shapeId="0">
      <text>
        <t>FMP quote price pulled 2026-06-01. This is market data, not a valuation recommendation.</t>
      </text>
    </comment>
    <comment ref="B8" authorId="0" shapeId="0">
      <text>
        <t>Units corrected to millions of shares so Market Cap = Price x Shares produces $mm.</t>
      </text>
    </comment>
    <comment ref="B26" authorId="0" shapeId="0">
      <text>
        <t>Historical FY2026/FY2025 growth baseline from FMP, not a forecast. Review before use.</t>
      </text>
    </comment>
    <comment ref="B30" authorId="0" shapeId="0">
      <text>
        <t>Manual WACC field left unchanged. FMP beta can inform the next refinement.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2</row>
      <rowOff>0</rowOff>
    </from>
    <to>
      <col>16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30</row>
      <rowOff>0</rowOff>
    </from>
    <to>
      <col>8</col>
      <colOff>0</colOff>
      <row>47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ssumptionsTable" displayName="AssumptionsTable" ref="A3:F43" headerRowCount="1">
  <tableColumns count="6">
    <tableColumn id="1" name="Metric"/>
    <tableColumn id="2" name="Value"/>
    <tableColumn id="3" name="Units"/>
    <tableColumn id="4" name="Type"/>
    <tableColumn id="5" name="Formula / Tip"/>
    <tableColumn id="6" name="Source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shboardValuesTable" displayName="DashboardValuesTable" ref="A6:G15" headerRowCount="1">
  <tableColumns count="7">
    <tableColumn id="1" name="Method"/>
    <tableColumn id="2" name="Value / Share"/>
    <tableColumn id="3" name="Current Price"/>
    <tableColumn id="4" name="Upside / (Downside)"/>
    <tableColumn id="5" name="Buy Zone"/>
    <tableColumn id="6" name="Status"/>
    <tableColumn id="7" name="Best use / cave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luationChecklistTable" displayName="ValuationChecklistTable" ref="A4:F16" headerRowCount="1">
  <tableColumns count="6">
    <tableColumn id="1" name="Area"/>
    <tableColumn id="2" name="Question"/>
    <tableColumn id="3" name="Good sign"/>
    <tableColumn id="4" name="Red flag"/>
    <tableColumn id="5" name="Calculation"/>
    <tableColumn id="6" name="Ti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sTable" displayName="SourcesTable" ref="A6:D14" headerRowCount="1">
  <tableColumns count="4">
    <tableColumn id="1" name="Topic"/>
    <tableColumn id="2" name="Reference"/>
    <tableColumn id="3" name="URL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:I1"/>
    </sheetView>
  </sheetViews>
  <sheetFormatPr baseColWidth="8" defaultRowHeight="14.25"/>
  <cols>
    <col width="13" customWidth="1" min="1" max="1"/>
    <col width="32" customWidth="1" min="2" max="2"/>
    <col width="22" customWidth="1" min="3" max="3"/>
    <col width="48" customWidth="1" min="4" max="4"/>
    <col width="18" customWidth="1" min="5" max="9"/>
  </cols>
  <sheetData>
    <row r="1" ht="18" customHeight="1">
      <c r="A1" s="44" t="inlineStr">
        <is>
          <t>Modern Stock Valuation Cheat Sheet &amp; Workbook</t>
        </is>
      </c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45" t="inlineStr">
        <is>
          <t>How to use this workbook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2" t="inlineStr">
        <is>
          <t>Step</t>
        </is>
      </c>
      <c r="B4" s="2" t="inlineStr">
        <is>
          <t>Action</t>
        </is>
      </c>
      <c r="C4" s="2" t="inlineStr">
        <is>
          <t>Sheet</t>
        </is>
      </c>
      <c r="D4" s="2" t="inlineStr">
        <is>
          <t>Tip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4" customHeight="1">
      <c r="A5" s="3" t="n">
        <v>1</v>
      </c>
      <c r="B5" s="4" t="inlineStr">
        <is>
          <t>Enter company data and assumptions</t>
        </is>
      </c>
      <c r="C5" s="4" t="inlineStr">
        <is>
          <t>Assumptions</t>
        </is>
      </c>
      <c r="D5" s="4" t="inlineStr">
        <is>
          <t>Yellow cells with blue text are hardcoded inputs you should update.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>
      <c r="A6" s="3" t="n">
        <v>2</v>
      </c>
      <c r="B6" s="4" t="inlineStr">
        <is>
          <t>Review valuation outputs</t>
        </is>
      </c>
      <c r="C6" s="4" t="inlineStr">
        <is>
          <t>Dashboard</t>
        </is>
      </c>
      <c r="D6" s="4" t="inlineStr">
        <is>
          <t>Compare several methods instead of relying on one single model.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4" customHeight="1">
      <c r="A7" s="3" t="n">
        <v>3</v>
      </c>
      <c r="B7" s="4" t="inlineStr">
        <is>
          <t>Stress test growth and discount assumptions</t>
        </is>
      </c>
      <c r="C7" s="4" t="inlineStr">
        <is>
          <t>DCF Calculator</t>
        </is>
      </c>
      <c r="D7" s="4" t="inlineStr">
        <is>
          <t>Small changes in discount rate or terminal growth can move value a lot.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4" customHeight="1">
      <c r="A8" s="3" t="n">
        <v>4</v>
      </c>
      <c r="B8" s="4" t="inlineStr">
        <is>
          <t>Check quality and risk</t>
        </is>
      </c>
      <c r="C8" s="4" t="inlineStr">
        <is>
          <t>Quality &amp; Growth / Balance Safety</t>
        </is>
      </c>
      <c r="D8" s="4" t="inlineStr">
        <is>
          <t>High ROIC and solid interest coverage usually deserve more confidence.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4" customHeight="1">
      <c r="A9" s="3" t="n">
        <v>5</v>
      </c>
      <c r="B9" s="4" t="inlineStr">
        <is>
          <t>Document source data</t>
        </is>
      </c>
      <c r="C9" s="4" t="inlineStr">
        <is>
          <t>Sources &amp; Notes</t>
        </is>
      </c>
      <c r="D9" s="4" t="inlineStr">
        <is>
          <t>Replace all placeholder examples with filings, data provider outputs, or your own research notes.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>
      <c r="A11" s="45" t="inlineStr">
        <is>
          <t>Color conventions</t>
        </is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2" t="inlineStr">
        <is>
          <t>Color / style</t>
        </is>
      </c>
      <c r="B12" s="2" t="inlineStr">
        <is>
          <t>Meaning</t>
        </is>
      </c>
      <c r="C12" s="2" t="inlineStr">
        <is>
          <t>Where used</t>
        </is>
      </c>
      <c r="D12" s="2" t="inlineStr">
        <is>
          <t>Reminder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4" customHeight="1">
      <c r="A13" s="5" t="inlineStr">
        <is>
          <t>Blue text + yellow fill</t>
        </is>
      </c>
      <c r="B13" s="4" t="inlineStr">
        <is>
          <t>Hardcoded input</t>
        </is>
      </c>
      <c r="C13" s="4" t="inlineStr">
        <is>
          <t>Assumptions and editable assumptions in calculators</t>
        </is>
      </c>
      <c r="D13" s="4" t="inlineStr">
        <is>
          <t>Change these when analyzing a real company.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>
      <c r="A14" s="6" t="inlineStr">
        <is>
          <t>Black text</t>
        </is>
      </c>
      <c r="B14" s="4" t="inlineStr">
        <is>
          <t>Formula / calculation</t>
        </is>
      </c>
      <c r="C14" s="4" t="inlineStr">
        <is>
          <t>Most output cells</t>
        </is>
      </c>
      <c r="D14" s="4" t="inlineStr">
        <is>
          <t>Do not overwrite unless you intentionally rebuild the model.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>
      <c r="A15" s="7" t="inlineStr">
        <is>
          <t>Green text</t>
        </is>
      </c>
      <c r="B15" s="4" t="inlineStr">
        <is>
          <t>Cross-sheet link</t>
        </is>
      </c>
      <c r="C15" s="4" t="inlineStr">
        <is>
          <t>Dashboard and linked inputs</t>
        </is>
      </c>
      <c r="D15" s="4" t="inlineStr">
        <is>
          <t>These pull from another worksheet.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4" customHeight="1">
      <c r="A16" s="8" t="inlineStr">
        <is>
          <t>Dark blue section header</t>
        </is>
      </c>
      <c r="B16" s="4" t="inlineStr">
        <is>
          <t>Model section</t>
        </is>
      </c>
      <c r="C16" s="4" t="inlineStr">
        <is>
          <t>All sheets</t>
        </is>
      </c>
      <c r="D16" s="4" t="inlineStr">
        <is>
          <t>Helps separate unrelated calculations.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>
      <c r="A18" s="45" t="inlineStr">
        <is>
          <t>Best calculation by company type</t>
        </is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>
      <c r="A19" s="2" t="inlineStr">
        <is>
          <t>Company type</t>
        </is>
      </c>
      <c r="B19" s="2" t="inlineStr">
        <is>
          <t>Primary methods</t>
        </is>
      </c>
      <c r="C19" s="2" t="inlineStr">
        <is>
          <t>Quality checks</t>
        </is>
      </c>
      <c r="D19" s="2" t="inlineStr">
        <is>
          <t>Watch-outs</t>
        </is>
      </c>
      <c r="E19" s="2" t="inlineStr">
        <is>
          <t>Best quick metric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>
      <c r="A20" s="4" t="inlineStr">
        <is>
          <t>Mature profitable</t>
        </is>
      </c>
      <c r="B20" s="4" t="inlineStr">
        <is>
          <t>FCF yield, DCF, EV/EBIT, P/E</t>
        </is>
      </c>
      <c r="C20" s="4" t="inlineStr">
        <is>
          <t>ROIC vs WACC, FCF per share</t>
        </is>
      </c>
      <c r="D20" s="4" t="inlineStr">
        <is>
          <t>Flat growth, buybacks masking weak operations</t>
        </is>
      </c>
      <c r="E20" s="4" t="inlineStr">
        <is>
          <t>FCF yield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4" customHeight="1">
      <c r="A21" s="4" t="inlineStr">
        <is>
          <t>Growth / SaaS</t>
        </is>
      </c>
      <c r="B21" s="4" t="inlineStr">
        <is>
          <t>Long-term DCF, Rule of 40, EV/Revenue with margin context</t>
        </is>
      </c>
      <c r="C21" s="4" t="inlineStr">
        <is>
          <t>Revenue retention, FCF margin, dilution</t>
        </is>
      </c>
      <c r="D21" s="4" t="inlineStr">
        <is>
          <t>Stock-based comp and unrealistic terminal margins</t>
        </is>
      </c>
      <c r="E21" s="4" t="inlineStr">
        <is>
          <t>Rule of 40</t>
        </is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4" customHeight="1">
      <c r="A22" s="4" t="inlineStr">
        <is>
          <t>Banks / insurers</t>
        </is>
      </c>
      <c r="B22" s="4" t="inlineStr">
        <is>
          <t>Residual income, ROE, P/B, justified P/B</t>
        </is>
      </c>
      <c r="C22" s="4" t="inlineStr">
        <is>
          <t>Credit quality, capital ratios, reserve adequacy</t>
        </is>
      </c>
      <c r="D22" s="4" t="inlineStr">
        <is>
          <t>Book value quality and credit-cycle losses</t>
        </is>
      </c>
      <c r="E22" s="4" t="inlineStr">
        <is>
          <t>ROE vs cost of equity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4" customHeight="1">
      <c r="A23" s="4" t="inlineStr">
        <is>
          <t>Cyclical / commodity</t>
        </is>
      </c>
      <c r="B23" s="4" t="inlineStr">
        <is>
          <t>Normalized EV/EBITDA, trough leverage, replacement value</t>
        </is>
      </c>
      <c r="C23" s="4" t="inlineStr">
        <is>
          <t>Balance sheet survival at cycle lows</t>
        </is>
      </c>
      <c r="D23" s="4" t="inlineStr">
        <is>
          <t>Peak earnings looking deceptively cheap</t>
        </is>
      </c>
      <c r="E23" s="4" t="inlineStr">
        <is>
          <t>Normalized EV/EBITDA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4" customHeight="1">
      <c r="A24" s="4" t="inlineStr">
        <is>
          <t>Asset-heavy</t>
        </is>
      </c>
      <c r="B24" s="4" t="inlineStr">
        <is>
          <t>ROIC, maintenance CapEx, EV/EBIT, debt coverage</t>
        </is>
      </c>
      <c r="C24" s="4" t="inlineStr">
        <is>
          <t>CapEx intensity, asset turnover</t>
        </is>
      </c>
      <c r="D24" s="4" t="inlineStr">
        <is>
          <t>Accounting earnings overstating cash flow</t>
        </is>
      </c>
      <c r="E24" s="4" t="inlineStr">
        <is>
          <t>ROIC spread</t>
        </is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4" customHeight="1">
      <c r="A25" s="4" t="inlineStr">
        <is>
          <t>Conglomerate</t>
        </is>
      </c>
      <c r="B25" s="4" t="inlineStr">
        <is>
          <t>Sum-of-the-parts and segment multiples</t>
        </is>
      </c>
      <c r="C25" s="4" t="inlineStr">
        <is>
          <t>Segment-level margins and capital intensity</t>
        </is>
      </c>
      <c r="D25" s="4" t="inlineStr">
        <is>
          <t>Corporate overhead and hidden liabilities</t>
        </is>
      </c>
      <c r="E25" s="4" t="inlineStr">
        <is>
          <t>SOTP discount/premium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6" customHeight="1">
      <c r="A27" s="46" t="inlineStr">
        <is>
          <t>Important: this workbook is educational and uses placeholder assumptions. Replace the examples with current company-specific data before making any investment decision.</t>
        </is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</sheetData>
  <mergeCells count="5">
    <mergeCell ref="A11:I11"/>
    <mergeCell ref="A1:I1"/>
    <mergeCell ref="A18:I18"/>
    <mergeCell ref="A27:I27"/>
    <mergeCell ref="A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tabSelected="1" workbookViewId="0">
      <selection activeCell="B8" sqref="B8"/>
    </sheetView>
  </sheetViews>
  <sheetFormatPr baseColWidth="8" defaultRowHeight="14.25"/>
  <cols>
    <col width="30" customWidth="1" min="1" max="1"/>
    <col width="18" customWidth="1" min="2" max="2"/>
    <col width="16" customWidth="1" min="3" max="3"/>
    <col width="18" customWidth="1" min="4" max="4"/>
    <col width="48" customWidth="1" min="5" max="5"/>
    <col width="48" customWidth="1" min="6" max="6"/>
  </cols>
  <sheetData>
    <row r="1" ht="18" customHeight="1">
      <c r="A1" s="44" t="inlineStr">
        <is>
          <t>Input Assumptions and Example Data</t>
        </is>
      </c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2" t="inlineStr">
        <is>
          <t>Metric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Type</t>
        </is>
      </c>
      <c r="E3" s="2" t="inlineStr">
        <is>
          <t>Formula / Tip</t>
        </is>
      </c>
      <c r="F3" s="2" t="inlineStr">
        <is>
          <t>Source / Notes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9" t="inlineStr">
        <is>
          <t>Company Name</t>
        </is>
      </c>
      <c r="B4" s="51" t="inlineStr">
        <is>
          <t>NVIDIA Corporation</t>
        </is>
      </c>
      <c r="C4" s="1" t="inlineStr">
        <is>
          <t>Text</t>
        </is>
      </c>
      <c r="D4" s="1" t="inlineStr">
        <is>
          <t>Input</t>
        </is>
      </c>
      <c r="E4" s="49" t="inlineStr">
        <is>
          <t>Replace with target company.</t>
        </is>
      </c>
      <c r="F4" s="49" t="inlineStr">
        <is>
          <t>FMP profile, pulled 2026-06-01.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>
      <c r="A5" s="9" t="inlineStr">
        <is>
          <t>Ticker</t>
        </is>
      </c>
      <c r="B5" s="51" t="inlineStr">
        <is>
          <t>NVDA</t>
        </is>
      </c>
      <c r="C5" s="1" t="inlineStr">
        <is>
          <t>Text</t>
        </is>
      </c>
      <c r="D5" s="1" t="inlineStr">
        <is>
          <t>Input</t>
        </is>
      </c>
      <c r="E5" s="49" t="inlineStr">
        <is>
          <t>Replace with ticker.</t>
        </is>
      </c>
      <c r="F5" s="49" t="inlineStr">
        <is>
          <t>FMP quote/profile symbol.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>
      <c r="A6" s="9" t="inlineStr">
        <is>
          <t>Scenario</t>
        </is>
      </c>
      <c r="B6" s="51" t="inlineStr">
        <is>
          <t>Base</t>
        </is>
      </c>
      <c r="C6" s="1" t="inlineStr">
        <is>
          <t>Dropdown</t>
        </is>
      </c>
      <c r="D6" s="1" t="inlineStr">
        <is>
          <t>Input</t>
        </is>
      </c>
      <c r="E6" s="49" t="inlineStr">
        <is>
          <t>Use Conservative, Base, or Optimistic.</t>
        </is>
      </c>
      <c r="F6" s="49" t="inlineStr">
        <is>
          <t>Scenario left as Base; manual scenario assumption.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>
      <c r="A7" s="9" t="inlineStr">
        <is>
          <t>Current Share Price</t>
        </is>
      </c>
      <c r="B7" s="52" t="n">
        <v>224.36</v>
      </c>
      <c r="C7" s="1" t="inlineStr">
        <is>
          <t>$/sh</t>
        </is>
      </c>
      <c r="D7" s="1" t="inlineStr">
        <is>
          <t>Input</t>
        </is>
      </c>
      <c r="E7" s="49" t="inlineStr">
        <is>
          <t>Latest market price.</t>
        </is>
      </c>
      <c r="F7" s="49" t="inlineStr">
        <is>
          <t>FMP quote price, pulled 2026-06-01.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>
      <c r="A8" s="9" t="inlineStr">
        <is>
          <t>Diluted Shares</t>
        </is>
      </c>
      <c r="B8" s="53" t="n">
        <v>24221</v>
      </c>
      <c r="C8" s="1" t="inlineStr">
        <is>
          <t>mm</t>
        </is>
      </c>
      <c r="D8" s="1" t="inlineStr">
        <is>
          <t>Input</t>
        </is>
      </c>
      <c r="E8" s="49" t="inlineStr">
        <is>
          <t>Use diluted weighted-average shares or fully diluted share count.</t>
        </is>
      </c>
      <c r="F8" s="49" t="inlineStr">
        <is>
          <t>FMP shares-float outstandingShares / 1e6. Diluted FY weighted average was 24,514mm.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>
      <c r="A9" s="9" t="inlineStr">
        <is>
          <t>Market Cap</t>
        </is>
      </c>
      <c r="B9" s="54">
        <f>B7*B8</f>
        <v/>
      </c>
      <c r="C9" s="1" t="inlineStr">
        <is>
          <t>$mm</t>
        </is>
      </c>
      <c r="D9" s="1" t="inlineStr">
        <is>
          <t>Formula</t>
        </is>
      </c>
      <c r="E9" s="49" t="inlineStr">
        <is>
          <t>Current Share Price × Diluted Shares.</t>
        </is>
      </c>
      <c r="F9" s="49" t="inlineStr">
        <is>
          <t>Formula retained from workbook.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>
      <c r="A10" s="9" t="inlineStr">
        <is>
          <t>Cash &amp; Investments</t>
        </is>
      </c>
      <c r="B10" s="55" t="n">
        <v>62556</v>
      </c>
      <c r="C10" s="1" t="inlineStr">
        <is>
          <t>$mm</t>
        </is>
      </c>
      <c r="D10" s="1" t="inlineStr">
        <is>
          <t>Input</t>
        </is>
      </c>
      <c r="E10" s="49" t="inlineStr">
        <is>
          <t>Cash, equivalents, and marketable securities.</t>
        </is>
      </c>
      <c r="F10" s="49" t="inlineStr">
        <is>
          <t>FMP FY2026 balance sheet: cashAndShortTermInvestments / 1e6.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>
      <c r="A11" s="9" t="inlineStr">
        <is>
          <t>Total Debt</t>
        </is>
      </c>
      <c r="B11" s="55" t="n">
        <v>11412</v>
      </c>
      <c r="C11" s="1" t="inlineStr">
        <is>
          <t>$mm</t>
        </is>
      </c>
      <c r="D11" s="1" t="inlineStr">
        <is>
          <t>Input</t>
        </is>
      </c>
      <c r="E11" s="49" t="inlineStr">
        <is>
          <t>Short-term + long-term debt.</t>
        </is>
      </c>
      <c r="F11" s="49" t="inlineStr">
        <is>
          <t>FMP FY2026 balance sheet: totalDebt / 1e6.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9" t="inlineStr">
        <is>
          <t>Preferred + Minority Interest</t>
        </is>
      </c>
      <c r="B12" s="55" t="n">
        <v>0</v>
      </c>
      <c r="C12" s="1" t="inlineStr">
        <is>
          <t>$mm</t>
        </is>
      </c>
      <c r="D12" s="1" t="inlineStr">
        <is>
          <t>Input</t>
        </is>
      </c>
      <c r="E12" s="49" t="inlineStr">
        <is>
          <t>Include if material.</t>
        </is>
      </c>
      <c r="F12" s="49" t="inlineStr">
        <is>
          <t>FMP FY2026 balance sheet: preferredStock and minorityInterest reported as 0.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>
      <c r="A13" s="9" t="inlineStr">
        <is>
          <t>Net Debt</t>
        </is>
      </c>
      <c r="B13" s="54">
        <f>B11+B12-B10</f>
        <v/>
      </c>
      <c r="C13" s="1" t="inlineStr">
        <is>
          <t>$mm</t>
        </is>
      </c>
      <c r="D13" s="1" t="inlineStr">
        <is>
          <t>Formula</t>
        </is>
      </c>
      <c r="E13" s="49" t="inlineStr">
        <is>
          <t>Debt + pref./minority interest − cash.</t>
        </is>
      </c>
      <c r="F13" s="49" t="inlineStr">
        <is>
          <t>Formula retained from workbook.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>
      <c r="A14" s="9" t="inlineStr">
        <is>
          <t>Enterprise Value</t>
        </is>
      </c>
      <c r="B14" s="54">
        <f>B9+B13</f>
        <v/>
      </c>
      <c r="C14" s="1" t="inlineStr">
        <is>
          <t>$mm</t>
        </is>
      </c>
      <c r="D14" s="1" t="inlineStr">
        <is>
          <t>Formula</t>
        </is>
      </c>
      <c r="E14" s="49" t="inlineStr">
        <is>
          <t>Market cap + net debt.</t>
        </is>
      </c>
      <c r="F14" s="49" t="inlineStr">
        <is>
          <t>Formula retained from workbook.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>
      <c r="A15" s="9" t="inlineStr">
        <is>
          <t>EPS Current</t>
        </is>
      </c>
      <c r="B15" s="56" t="n">
        <v>6.57222267973318</v>
      </c>
      <c r="C15" s="1" t="inlineStr">
        <is>
          <t>$/sh</t>
        </is>
      </c>
      <c r="D15" s="1" t="inlineStr">
        <is>
          <t>Input</t>
        </is>
      </c>
      <c r="E15" s="49" t="inlineStr">
        <is>
          <t>Use normalized or forward EPS consistently.</t>
        </is>
      </c>
      <c r="F15" s="49" t="inlineStr">
        <is>
          <t>FMP ratios TTM: netIncomePerShareTTM.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>
      <c r="A16" s="9" t="inlineStr">
        <is>
          <t>Book Value per Share</t>
        </is>
      </c>
      <c r="B16" s="56" t="n">
        <v>8.048834719591534</v>
      </c>
      <c r="C16" s="1" t="inlineStr">
        <is>
          <t>$/sh</t>
        </is>
      </c>
      <c r="D16" s="1" t="inlineStr">
        <is>
          <t>Input</t>
        </is>
      </c>
      <c r="E16" s="49" t="inlineStr">
        <is>
          <t>Useful for banks/insurers and residual income.</t>
        </is>
      </c>
      <c r="F16" s="49" t="inlineStr">
        <is>
          <t>FMP ratios TTM: bookValuePerShareTTM.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9" t="inlineStr">
        <is>
          <t>FCF per Share Current</t>
        </is>
      </c>
      <c r="B17" s="56" t="n">
        <v>4.903071728567899</v>
      </c>
      <c r="C17" s="1" t="inlineStr">
        <is>
          <t>$/sh</t>
        </is>
      </c>
      <c r="D17" s="1" t="inlineStr">
        <is>
          <t>Input</t>
        </is>
      </c>
      <c r="E17" s="49" t="inlineStr">
        <is>
          <t>Operating cash flow minus CapEx, divided by diluted shares.</t>
        </is>
      </c>
      <c r="F17" s="49" t="inlineStr">
        <is>
          <t>FMP ratios TTM: freeCashFlowPerShareTTM.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>
      <c r="A18" s="9" t="inlineStr">
        <is>
          <t>Revenue</t>
        </is>
      </c>
      <c r="B18" s="57" t="n">
        <v>215938</v>
      </c>
      <c r="C18" s="1" t="inlineStr">
        <is>
          <t>$mm</t>
        </is>
      </c>
      <c r="D18" s="1" t="inlineStr">
        <is>
          <t>Input</t>
        </is>
      </c>
      <c r="E18" s="49" t="inlineStr">
        <is>
          <t>Total revenue.</t>
        </is>
      </c>
      <c r="F18" s="49" t="inlineStr">
        <is>
          <t>FMP FY2026 income statement: revenue / 1e6.</t>
        </is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>
      <c r="A19" s="9" t="inlineStr">
        <is>
          <t>EBIT</t>
        </is>
      </c>
      <c r="B19" s="57" t="n">
        <v>141709</v>
      </c>
      <c r="C19" s="1" t="inlineStr">
        <is>
          <t>$mm</t>
        </is>
      </c>
      <c r="D19" s="1" t="inlineStr">
        <is>
          <t>Input</t>
        </is>
      </c>
      <c r="E19" s="49" t="inlineStr">
        <is>
          <t>Operating income before interest and taxes.</t>
        </is>
      </c>
      <c r="F19" s="49" t="inlineStr">
        <is>
          <t>FMP FY2026 income statement: EBIT / 1e6.</t>
        </is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>
      <c r="A20" s="9" t="inlineStr">
        <is>
          <t>EBITDA</t>
        </is>
      </c>
      <c r="B20" s="57" t="n">
        <v>144552</v>
      </c>
      <c r="C20" s="1" t="inlineStr">
        <is>
          <t>$mm</t>
        </is>
      </c>
      <c r="D20" s="1" t="inlineStr">
        <is>
          <t>Input</t>
        </is>
      </c>
      <c r="E20" s="49" t="inlineStr">
        <is>
          <t>EBIT + D&amp;A; use adjusted carefully.</t>
        </is>
      </c>
      <c r="F20" s="49" t="inlineStr">
        <is>
          <t>FMP FY2026 income statement: EBITDA / 1e6.</t>
        </is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>
      <c r="A21" s="9" t="inlineStr">
        <is>
          <t>Interest Expense</t>
        </is>
      </c>
      <c r="B21" s="57" t="n">
        <v>259</v>
      </c>
      <c r="C21" s="1" t="inlineStr">
        <is>
          <t>$mm</t>
        </is>
      </c>
      <c r="D21" s="1" t="inlineStr">
        <is>
          <t>Input</t>
        </is>
      </c>
      <c r="E21" s="49" t="inlineStr">
        <is>
          <t>Annual interest expense.</t>
        </is>
      </c>
      <c r="F21" s="49" t="inlineStr">
        <is>
          <t>FMP FY2026 income statement: interestExpense / 1e6.</t>
        </is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>
      <c r="A22" s="9" t="inlineStr">
        <is>
          <t>Current Assets</t>
        </is>
      </c>
      <c r="B22" s="57" t="n">
        <v>125605</v>
      </c>
      <c r="C22" s="1" t="inlineStr">
        <is>
          <t>$mm</t>
        </is>
      </c>
      <c r="D22" s="1" t="inlineStr">
        <is>
          <t>Input</t>
        </is>
      </c>
      <c r="E22" s="49" t="inlineStr">
        <is>
          <t>Used for current ratio.</t>
        </is>
      </c>
      <c r="F22" s="49" t="inlineStr">
        <is>
          <t>FMP FY2026 balance sheet: totalCurrentAssets / 1e6.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>
      <c r="A23" s="9" t="inlineStr">
        <is>
          <t>Current Liabilities</t>
        </is>
      </c>
      <c r="B23" s="57" t="n">
        <v>32163</v>
      </c>
      <c r="C23" s="1" t="inlineStr">
        <is>
          <t>$mm</t>
        </is>
      </c>
      <c r="D23" s="1" t="inlineStr">
        <is>
          <t>Input</t>
        </is>
      </c>
      <c r="E23" s="49" t="inlineStr">
        <is>
          <t>Used for current ratio.</t>
        </is>
      </c>
      <c r="F23" s="49" t="inlineStr">
        <is>
          <t>FMP FY2026 balance sheet: totalCurrentLiabilities / 1e6.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4" customHeight="1">
      <c r="A24" s="9" t="inlineStr">
        <is>
          <t>Invested Capital</t>
        </is>
      </c>
      <c r="B24" s="57" t="n">
        <v>143528</v>
      </c>
      <c r="C24" s="1" t="inlineStr">
        <is>
          <t>$mm</t>
        </is>
      </c>
      <c r="D24" s="1" t="inlineStr">
        <is>
          <t>Input</t>
        </is>
      </c>
      <c r="E24" s="49" t="inlineStr">
        <is>
          <t>Debt + equity − non-operating cash, or operating assets minus operating liabilities.</t>
        </is>
      </c>
      <c r="F24" s="49" t="inlineStr">
        <is>
          <t>FMP key metrics TTM: investedCapitalTTM / 1e6.</t>
        </is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>
      <c r="A25" s="9" t="inlineStr">
        <is>
          <t>Tax Rate</t>
        </is>
      </c>
      <c r="B25" s="58" t="n">
        <v>0.1574616111442492</v>
      </c>
      <c r="C25" s="1" t="inlineStr">
        <is>
          <t>%</t>
        </is>
      </c>
      <c r="D25" s="1" t="inlineStr">
        <is>
          <t>Input</t>
        </is>
      </c>
      <c r="E25" s="49" t="inlineStr">
        <is>
          <t>Normalized cash tax rate.</t>
        </is>
      </c>
      <c r="F25" s="49" t="inlineStr">
        <is>
          <t>FMP ratios TTM: effectiveTaxRateTTM.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>
      <c r="A26" s="9" t="inlineStr">
        <is>
          <t>EPS Growth Rate</t>
        </is>
      </c>
      <c r="B26" s="58" t="n">
        <v>0.6666666666666667</v>
      </c>
      <c r="C26" s="1" t="inlineStr">
        <is>
          <t>%</t>
        </is>
      </c>
      <c r="D26" s="1" t="inlineStr">
        <is>
          <t>Input</t>
        </is>
      </c>
      <c r="E26" s="49" t="inlineStr">
        <is>
          <t>Expected annual EPS growth.</t>
        </is>
      </c>
      <c r="F26" s="49" t="inlineStr">
        <is>
          <t>Derived from FMP FY2026 vs FY2025 diluted EPS: 4.90 / 2.94 - 1. Review before use.</t>
        </is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>
      <c r="A27" s="9" t="inlineStr">
        <is>
          <t>FCF Growth Rate</t>
        </is>
      </c>
      <c r="B27" s="58" t="n">
        <v>0.5886817400966263</v>
      </c>
      <c r="C27" s="1" t="inlineStr">
        <is>
          <t>%</t>
        </is>
      </c>
      <c r="D27" s="1" t="inlineStr">
        <is>
          <t>Input</t>
        </is>
      </c>
      <c r="E27" s="49" t="inlineStr">
        <is>
          <t>Expected annual FCF/share growth.</t>
        </is>
      </c>
      <c r="F27" s="49" t="inlineStr">
        <is>
          <t>Derived from FMP FY2026 vs FY2025 free cash flow: 96.676B / 60.853B - 1. Review before use.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>
      <c r="A28" s="9" t="inlineStr">
        <is>
          <t>Revenue Growth Rate</t>
        </is>
      </c>
      <c r="B28" s="58" t="n">
        <v>0.654733059763826</v>
      </c>
      <c r="C28" s="1" t="inlineStr">
        <is>
          <t>%</t>
        </is>
      </c>
      <c r="D28" s="1" t="inlineStr">
        <is>
          <t>Input</t>
        </is>
      </c>
      <c r="E28" s="49" t="inlineStr">
        <is>
          <t>Expected annual revenue growth.</t>
        </is>
      </c>
      <c r="F28" s="49" t="inlineStr">
        <is>
          <t>Derived from FMP FY2026 vs FY2025 revenue: 215.938B / 130.497B - 1. Review before use.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>
      <c r="A29" s="9" t="inlineStr">
        <is>
          <t>Terminal Growth Rate</t>
        </is>
      </c>
      <c r="B29" s="59" t="n">
        <v>0.03</v>
      </c>
      <c r="C29" s="1" t="inlineStr">
        <is>
          <t>%</t>
        </is>
      </c>
      <c r="D29" s="1" t="inlineStr">
        <is>
          <t>Input</t>
        </is>
      </c>
      <c r="E29" s="49" t="inlineStr">
        <is>
          <t>Usually below long-run nominal GDP growth.</t>
        </is>
      </c>
      <c r="F29" s="49" t="inlineStr">
        <is>
          <t>Manual long-run terminal growth assumption left at 3%; not an FMP reported value.</t>
        </is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9" t="inlineStr">
        <is>
          <t>Discount Rate / WACC</t>
        </is>
      </c>
      <c r="B30" s="59" t="n">
        <v>0.09</v>
      </c>
      <c r="C30" s="1" t="inlineStr">
        <is>
          <t>%</t>
        </is>
      </c>
      <c r="D30" s="1" t="inlineStr">
        <is>
          <t>Input</t>
        </is>
      </c>
      <c r="E30" s="49" t="inlineStr">
        <is>
          <t>Required return for DCF.</t>
        </is>
      </c>
      <c r="F30" s="49" t="inlineStr">
        <is>
          <t>Manual WACC assumption left at 9%; FMP beta is 2.244 for context.</t>
        </is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9" t="inlineStr">
        <is>
          <t>Cost of Equity</t>
        </is>
      </c>
      <c r="B31" s="59" t="n">
        <v>0.1</v>
      </c>
      <c r="C31" s="1" t="inlineStr">
        <is>
          <t>%</t>
        </is>
      </c>
      <c r="D31" s="1" t="inlineStr">
        <is>
          <t>Input</t>
        </is>
      </c>
      <c r="E31" s="49" t="inlineStr">
        <is>
          <t>Required return for equity/residual income.</t>
        </is>
      </c>
      <c r="F31" s="49" t="inlineStr">
        <is>
          <t>Manual cost-of-equity assumption left at 10%; review with current risk-free rate and ERP.</t>
        </is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4" customHeight="1">
      <c r="A32" s="9" t="inlineStr">
        <is>
          <t>Payout Ratio</t>
        </is>
      </c>
      <c r="B32" s="58" t="n">
        <v>0.006095994687149543</v>
      </c>
      <c r="C32" s="1" t="inlineStr">
        <is>
          <t>%</t>
        </is>
      </c>
      <c r="D32" s="1" t="inlineStr">
        <is>
          <t>Input</t>
        </is>
      </c>
      <c r="E32" s="49" t="inlineStr">
        <is>
          <t>Dividends + buybacks as percent of earnings, or dividend payout for justified P/E.</t>
        </is>
      </c>
      <c r="F32" s="49" t="inlineStr">
        <is>
          <t>FMP ratios TTM: dividendPayoutRatioTTM.</t>
        </is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9" t="inlineStr">
        <is>
          <t>Reinvestment Rate</t>
        </is>
      </c>
      <c r="B33" s="58" t="n">
        <v>0.1841</v>
      </c>
      <c r="C33" s="1" t="inlineStr">
        <is>
          <t>%</t>
        </is>
      </c>
      <c r="D33" s="1" t="inlineStr">
        <is>
          <t>Input</t>
        </is>
      </c>
      <c r="E33" s="49" t="inlineStr">
        <is>
          <t>Reinvestment ÷ NOPAT.</t>
        </is>
      </c>
      <c r="F33" s="49" t="inlineStr">
        <is>
          <t>Derived approximation: (capex + working-capital investment) / NOPAT from FMP FY2026 statement data. Review before use.</t>
        </is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4" customHeight="1">
      <c r="A34" s="9" t="inlineStr">
        <is>
          <t>ROIC Assumption</t>
        </is>
      </c>
      <c r="B34" s="58" t="n">
        <v>0.6299357881627576</v>
      </c>
      <c r="C34" s="1" t="inlineStr">
        <is>
          <t>%</t>
        </is>
      </c>
      <c r="D34" s="1" t="inlineStr">
        <is>
          <t>Input</t>
        </is>
      </c>
      <c r="E34" s="49" t="inlineStr">
        <is>
          <t>Use as a forward assumption; sheet also calculates ROIC from EBIT and invested capital.</t>
        </is>
      </c>
      <c r="F34" s="49" t="inlineStr">
        <is>
          <t>FMP key metrics TTM: returnOnInvestedCapitalTTM.</t>
        </is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9" t="inlineStr">
        <is>
          <t>FCF Margin</t>
        </is>
      </c>
      <c r="B35" s="58" t="n">
        <v>0.4477063314451361</v>
      </c>
      <c r="C35" s="1" t="inlineStr">
        <is>
          <t>%</t>
        </is>
      </c>
      <c r="D35" s="1" t="inlineStr">
        <is>
          <t>Input</t>
        </is>
      </c>
      <c r="E35" s="49" t="inlineStr">
        <is>
          <t>Free cash flow ÷ revenue.</t>
        </is>
      </c>
      <c r="F35" s="49" t="inlineStr">
        <is>
          <t>Derived from FMP FY2026 free cash flow / revenue.</t>
        </is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9" t="inlineStr">
        <is>
          <t>EBITDA Margin</t>
        </is>
      </c>
      <c r="B36" s="58" t="n">
        <v>0.6694174244459178</v>
      </c>
      <c r="C36" s="1" t="inlineStr">
        <is>
          <t>%</t>
        </is>
      </c>
      <c r="D36" s="1" t="inlineStr">
        <is>
          <t>Input</t>
        </is>
      </c>
      <c r="E36" s="49" t="inlineStr">
        <is>
          <t>EBITDA ÷ revenue.</t>
        </is>
      </c>
      <c r="F36" s="49" t="inlineStr">
        <is>
          <t>Derived from FMP FY2026 EBITDA / revenue.</t>
        </is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9" t="inlineStr">
        <is>
          <t>AAA Corporate Bond Yield</t>
        </is>
      </c>
      <c r="B37" s="59" t="n">
        <v>0.055</v>
      </c>
      <c r="C37" s="1" t="inlineStr">
        <is>
          <t>%</t>
        </is>
      </c>
      <c r="D37" s="1" t="inlineStr">
        <is>
          <t>Input</t>
        </is>
      </c>
      <c r="E37" s="49" t="inlineStr">
        <is>
          <t>Used only for adjusted Graham formula.</t>
        </is>
      </c>
      <c r="F37" s="49" t="inlineStr">
        <is>
          <t>Left from workbook default; replace with current FRED DAAA if desired.</t>
        </is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9" t="inlineStr">
        <is>
          <t>Target P/E</t>
        </is>
      </c>
      <c r="B38" s="60" t="n">
        <v>34.13514297699171</v>
      </c>
      <c r="C38" s="1" t="inlineStr">
        <is>
          <t>x</t>
        </is>
      </c>
      <c r="D38" s="1" t="inlineStr">
        <is>
          <t>Input</t>
        </is>
      </c>
      <c r="E38" s="49" t="inlineStr">
        <is>
          <t>Industry/quality-adjusted target multiple.</t>
        </is>
      </c>
      <c r="F38" s="49" t="inlineStr">
        <is>
          <t>Derived market-implied P/E from FMP quote price / netIncomePerShareTTM; use as baseline, not recommendation.</t>
        </is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9" t="inlineStr">
        <is>
          <t>Target EV/EBIT</t>
        </is>
      </c>
      <c r="B39" s="60" t="n">
        <v>37.98757241958273</v>
      </c>
      <c r="C39" s="1" t="inlineStr">
        <is>
          <t>x</t>
        </is>
      </c>
      <c r="D39" s="1" t="inlineStr">
        <is>
          <t>Input</t>
        </is>
      </c>
      <c r="E39" s="49" t="inlineStr">
        <is>
          <t>Industry/quality-adjusted target multiple.</t>
        </is>
      </c>
      <c r="F39" s="49" t="inlineStr">
        <is>
          <t>Derived market-implied EV/EBIT using workbook EV convention: quote market cap + debt - cash/investments over FY2026 EBIT.</t>
        </is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9" t="inlineStr">
        <is>
          <t>Target EV/EBITDA</t>
        </is>
      </c>
      <c r="B40" s="60" t="n">
        <v>37.24044669427023</v>
      </c>
      <c r="C40" s="1" t="inlineStr">
        <is>
          <t>x</t>
        </is>
      </c>
      <c r="D40" s="1" t="inlineStr">
        <is>
          <t>Input</t>
        </is>
      </c>
      <c r="E40" s="49" t="inlineStr">
        <is>
          <t>Industry/quality-adjusted target multiple.</t>
        </is>
      </c>
      <c r="F40" s="49" t="inlineStr">
        <is>
          <t>Derived market-implied EV/EBITDA using workbook EV convention: quote market cap + debt - cash/investments over FY2026 EBITDA.</t>
        </is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9" t="inlineStr">
        <is>
          <t>Margin of Safety</t>
        </is>
      </c>
      <c r="B41" s="59" t="n">
        <v>0.25</v>
      </c>
      <c r="C41" s="1" t="inlineStr">
        <is>
          <t>%</t>
        </is>
      </c>
      <c r="D41" s="1" t="inlineStr">
        <is>
          <t>Input</t>
        </is>
      </c>
      <c r="E41" s="49" t="inlineStr">
        <is>
          <t>Discount to fair value before considering a buy zone.</t>
        </is>
      </c>
      <c r="F41" s="49" t="inlineStr">
        <is>
          <t>Manual margin-of-safety assumption left at 25%.</t>
        </is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9" t="inlineStr">
        <is>
          <t>Base-year Total FCF</t>
        </is>
      </c>
      <c r="B42" s="54">
        <f>B17*B8</f>
        <v/>
      </c>
      <c r="C42" s="1" t="inlineStr">
        <is>
          <t>$mm</t>
        </is>
      </c>
      <c r="D42" s="1" t="inlineStr">
        <is>
          <t>Formula</t>
        </is>
      </c>
      <c r="E42" s="49" t="inlineStr">
        <is>
          <t>FCF/share × diluted shares.</t>
        </is>
      </c>
      <c r="F42" s="49" t="inlineStr">
        <is>
          <t>Formula retained from workbook.</t>
        </is>
      </c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9" t="inlineStr">
        <is>
          <t>Notes</t>
        </is>
      </c>
      <c r="B43" s="61" t="inlineStr">
        <is>
          <t>Filled from FMP quote/profile, FY2026 annual statements, TTM ratios/key metrics, and shares float on 2026-06-01. Growth/multiple/discount-rate fields are source-backed baselines or manual assumptions and should be reviewed before investment use.</t>
        </is>
      </c>
      <c r="C43" s="1" t="inlineStr">
        <is>
          <t>Text</t>
        </is>
      </c>
      <c r="D43" s="1" t="inlineStr">
        <is>
          <t>Input</t>
        </is>
      </c>
      <c r="E43" s="49" t="inlineStr">
        <is>
          <t>Document assumptions here.</t>
        </is>
      </c>
      <c r="F43" s="49" t="inlineStr">
        <is>
          <t>Generated by My_Data workbook fill on 2026-06-01.</t>
        </is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62" t="inlineStr">
        <is>
          <t>FMP Fill Audit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63" t="inlineStr">
        <is>
          <t>Quote price</t>
        </is>
      </c>
      <c r="B46" s="63" t="inlineStr">
        <is>
          <t>224.36</t>
        </is>
      </c>
      <c r="C46" s="63" t="inlineStr">
        <is>
          <t>FMP quote, pulled 2026-06-01</t>
        </is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63" t="inlineStr">
        <is>
          <t>Quote market cap</t>
        </is>
      </c>
      <c r="B47" s="63" t="inlineStr">
        <is>
          <t>5,434,223.56 $mm</t>
        </is>
      </c>
      <c r="C47" s="63" t="inlineStr">
        <is>
          <t>FMP quote marketCap / 1e6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63" t="inlineStr">
        <is>
          <t>Shares used</t>
        </is>
      </c>
      <c r="B48" s="63" t="inlineStr">
        <is>
          <t>24,221.0 mm</t>
        </is>
      </c>
      <c r="C48" s="63" t="inlineStr">
        <is>
          <t>FMP shares-float outstandingShares / 1e6</t>
        </is>
      </c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63" t="inlineStr">
        <is>
          <t>Latest annual fiscal year</t>
        </is>
      </c>
      <c r="B49" s="63" t="inlineStr">
        <is>
          <t>FY2026, period ended 2026-01-25</t>
        </is>
      </c>
      <c r="C49" s="63" t="inlineStr">
        <is>
          <t>FMP income, balance sheet, cash flow statements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63" t="inlineStr">
        <is>
          <t>TTM metrics date</t>
        </is>
      </c>
      <c r="B50" s="63" t="inlineStr">
        <is>
          <t>Pulled 2026-06-01</t>
        </is>
      </c>
      <c r="C50" s="63" t="inlineStr">
        <is>
          <t>FMP key-metrics-ttm and ratios-ttm</t>
        </is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63" t="inlineStr">
        <is>
          <t>Manual fields retained</t>
        </is>
      </c>
      <c r="B51" s="63" t="inlineStr">
        <is>
          <t>Terminal growth, WACC, cost of equity, AAA yield, margin of safety</t>
        </is>
      </c>
      <c r="C51" s="63" t="inlineStr">
        <is>
          <t>Review before investment use</t>
        </is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</sheetData>
  <mergeCells count="1">
    <mergeCell ref="A1:F1"/>
  </mergeCells>
  <dataValidations count="1">
    <dataValidation sqref="B6" showDropDown="0" showInputMessage="0" showErrorMessage="0" allowBlank="0" type="list">
      <formula1>"Conservative,Base,Optimistic"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workbookViewId="0">
      <selection activeCell="A1" sqref="A1:H1"/>
    </sheetView>
  </sheetViews>
  <sheetFormatPr baseColWidth="8" defaultRowHeight="14.25"/>
  <cols>
    <col width="28" customWidth="1" min="1" max="1"/>
    <col width="17" customWidth="1" min="2" max="3"/>
    <col width="18" customWidth="1" min="4" max="4"/>
    <col width="17" customWidth="1" min="5" max="5"/>
    <col width="22" customWidth="1" min="6" max="6"/>
    <col width="35" customWidth="1" min="7" max="7"/>
    <col width="14" customWidth="1" min="8" max="8"/>
  </cols>
  <sheetData>
    <row r="1" ht="18" customHeight="1">
      <c r="A1" s="44" t="inlineStr">
        <is>
          <t>Valuation Dashboard</t>
        </is>
      </c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19" t="inlineStr">
        <is>
          <t>Company</t>
        </is>
      </c>
      <c r="B3" s="20">
        <f>Assumptions!B4</f>
        <v/>
      </c>
      <c r="C3" s="19" t="inlineStr">
        <is>
          <t>Ticker</t>
        </is>
      </c>
      <c r="D3" s="19">
        <f>Assumptions!B5</f>
        <v/>
      </c>
      <c r="E3" s="19" t="inlineStr">
        <is>
          <t>Scenario</t>
        </is>
      </c>
      <c r="F3" s="19">
        <f>Assumptions!B6</f>
        <v/>
      </c>
      <c r="G3" s="19" t="inlineStr">
        <is>
          <t>Current Price</t>
        </is>
      </c>
      <c r="H3" s="21">
        <f>Assumptions!B7</f>
        <v/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>
      <c r="A5" s="45" t="inlineStr">
        <is>
          <t>Value outputs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>
      <c r="A6" s="2" t="inlineStr">
        <is>
          <t>Method</t>
        </is>
      </c>
      <c r="B6" s="2" t="inlineStr">
        <is>
          <t>Value / Share</t>
        </is>
      </c>
      <c r="C6" s="2" t="inlineStr">
        <is>
          <t>Current Price</t>
        </is>
      </c>
      <c r="D6" s="2" t="inlineStr">
        <is>
          <t>Upside / (Downside)</t>
        </is>
      </c>
      <c r="E6" s="2" t="inlineStr">
        <is>
          <t>Buy Zone</t>
        </is>
      </c>
      <c r="F6" s="2" t="inlineStr">
        <is>
          <t>Status</t>
        </is>
      </c>
      <c r="G6" s="2" t="inlineStr">
        <is>
          <t>Best use / caveat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4" customHeight="1">
      <c r="A7" s="4" t="inlineStr">
        <is>
          <t>Graham adjusted growth formula</t>
        </is>
      </c>
      <c r="B7" s="22">
        <f>'Graham &amp; Multiples'!B13</f>
        <v/>
      </c>
      <c r="C7" s="22">
        <f>Assumptions!B7</f>
        <v/>
      </c>
      <c r="D7" s="42">
        <f>B7/C7-1</f>
        <v/>
      </c>
      <c r="E7" s="23">
        <f>B7*(1-Assumptions!B41)</f>
        <v/>
      </c>
      <c r="F7" s="24">
        <f>IF(C7&lt;=E7,"Below buy zone",IF(C7&lt;=B7,"Below fair value","Above fair value"))</f>
        <v/>
      </c>
      <c r="G7" s="49" t="inlineStr">
        <is>
          <t>Rough historical screen; very sensitive to growth and bond yield.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4" customHeight="1">
      <c r="A8" s="4" t="inlineStr">
        <is>
          <t>Single-stage FCF perpetuity</t>
        </is>
      </c>
      <c r="B8" s="22">
        <f>'DCF Calculator'!B10</f>
        <v/>
      </c>
      <c r="C8" s="22">
        <f>Assumptions!B7</f>
        <v/>
      </c>
      <c r="D8" s="42">
        <f>B8/C8-1</f>
        <v/>
      </c>
      <c r="E8" s="23">
        <f>B8*(1-Assumptions!B41)</f>
        <v/>
      </c>
      <c r="F8" s="24">
        <f>IF(C8&lt;=E8,"Below buy zone",IF(C8&lt;=B8,"Below fair value","Above fair value"))</f>
        <v/>
      </c>
      <c r="G8" s="49" t="inlineStr">
        <is>
          <t>Best for stable FCF businesses; not for volatile or fast-changing firms.</t>
        </is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4" customHeight="1">
      <c r="A9" s="4" t="inlineStr">
        <is>
          <t>5-year FCF/share DCF</t>
        </is>
      </c>
      <c r="B9" s="22">
        <f>'DCF Calculator'!B25</f>
        <v/>
      </c>
      <c r="C9" s="22">
        <f>Assumptions!B7</f>
        <v/>
      </c>
      <c r="D9" s="42">
        <f>B9/C9-1</f>
        <v/>
      </c>
      <c r="E9" s="23">
        <f>B9*(1-Assumptions!B41)</f>
        <v/>
      </c>
      <c r="F9" s="24">
        <f>IF(C9&lt;=E9,"Below buy zone",IF(C9&lt;=B9,"Below fair value","Above fair value"))</f>
        <v/>
      </c>
      <c r="G9" s="49" t="inlineStr">
        <is>
          <t>More flexible; still depends heavily on terminal assumptions.</t>
        </is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4" customHeight="1">
      <c r="A10" s="4" t="inlineStr">
        <is>
          <t>Residual income</t>
        </is>
      </c>
      <c r="B10" s="22">
        <f>'Residual &amp; Justified'!B28</f>
        <v/>
      </c>
      <c r="C10" s="22">
        <f>Assumptions!B7</f>
        <v/>
      </c>
      <c r="D10" s="42">
        <f>B10/C10-1</f>
        <v/>
      </c>
      <c r="E10" s="23">
        <f>B10*(1-Assumptions!B41)</f>
        <v/>
      </c>
      <c r="F10" s="24">
        <f>IF(C10&lt;=E10,"Below buy zone",IF(C10&lt;=B10,"Below fair value","Above fair value"))</f>
        <v/>
      </c>
      <c r="G10" s="49" t="inlineStr">
        <is>
          <t>Useful when book value matters, especially banks/insurers.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>
      <c r="A11" s="4" t="inlineStr">
        <is>
          <t>Justified P/E</t>
        </is>
      </c>
      <c r="B11" s="22">
        <f>'Residual &amp; Justified'!B29</f>
        <v/>
      </c>
      <c r="C11" s="22">
        <f>Assumptions!B7</f>
        <v/>
      </c>
      <c r="D11" s="42">
        <f>B11/C11-1</f>
        <v/>
      </c>
      <c r="E11" s="23">
        <f>B11*(1-Assumptions!B41)</f>
        <v/>
      </c>
      <c r="F11" s="24">
        <f>IF(C11&lt;=E11,"Below buy zone",IF(C11&lt;=B11,"Below fair value","Above fair value"))</f>
        <v/>
      </c>
      <c r="G11" s="49" t="inlineStr">
        <is>
          <t>Simple stable-growth sanity check.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4" t="inlineStr">
        <is>
          <t>Justified P/B</t>
        </is>
      </c>
      <c r="B12" s="22">
        <f>'Residual &amp; Justified'!B30</f>
        <v/>
      </c>
      <c r="C12" s="22">
        <f>Assumptions!B7</f>
        <v/>
      </c>
      <c r="D12" s="42">
        <f>B12/C12-1</f>
        <v/>
      </c>
      <c r="E12" s="23">
        <f>B12*(1-Assumptions!B41)</f>
        <v/>
      </c>
      <c r="F12" s="24">
        <f>IF(C12&lt;=E12,"Below buy zone",IF(C12&lt;=B12,"Below fair value","Above fair value"))</f>
        <v/>
      </c>
      <c r="G12" s="49" t="inlineStr">
        <is>
          <t>Good for book-value-heavy financials.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4" customHeight="1">
      <c r="A13" s="4" t="inlineStr">
        <is>
          <t>Target P/E</t>
        </is>
      </c>
      <c r="B13" s="22">
        <f>'Graham &amp; Multiples'!B27</f>
        <v/>
      </c>
      <c r="C13" s="22">
        <f>Assumptions!B7</f>
        <v/>
      </c>
      <c r="D13" s="42">
        <f>B13/C13-1</f>
        <v/>
      </c>
      <c r="E13" s="23">
        <f>B13*(1-Assumptions!B41)</f>
        <v/>
      </c>
      <c r="F13" s="24">
        <f>IF(C13&lt;=E13,"Below buy zone",IF(C13&lt;=B13,"Below fair value","Above fair value"))</f>
        <v/>
      </c>
      <c r="G13" s="49" t="inlineStr">
        <is>
          <t>Relative valuation; only as good as peer multiple choice.</t>
        </is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>
      <c r="A14" s="4" t="inlineStr">
        <is>
          <t>Target EV/EBIT</t>
        </is>
      </c>
      <c r="B14" s="22">
        <f>'Graham &amp; Multiples'!B28</f>
        <v/>
      </c>
      <c r="C14" s="22">
        <f>Assumptions!B7</f>
        <v/>
      </c>
      <c r="D14" s="42">
        <f>B14/C14-1</f>
        <v/>
      </c>
      <c r="E14" s="23">
        <f>B14*(1-Assumptions!B41)</f>
        <v/>
      </c>
      <c r="F14" s="24">
        <f>IF(C14&lt;=E14,"Below buy zone",IF(C14&lt;=B14,"Below fair value","Above fair value"))</f>
        <v/>
      </c>
      <c r="G14" s="49" t="inlineStr">
        <is>
          <t>Capital-structure-aware operating multiple.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4" customHeight="1">
      <c r="A15" s="4" t="inlineStr">
        <is>
          <t>Target EV/EBITDA</t>
        </is>
      </c>
      <c r="B15" s="22">
        <f>'Graham &amp; Multiples'!B29</f>
        <v/>
      </c>
      <c r="C15" s="22">
        <f>Assumptions!B7</f>
        <v/>
      </c>
      <c r="D15" s="42">
        <f>B15/C15-1</f>
        <v/>
      </c>
      <c r="E15" s="23">
        <f>B15*(1-Assumptions!B41)</f>
        <v/>
      </c>
      <c r="F15" s="24">
        <f>IF(C15&lt;=E15,"Below buy zone",IF(C15&lt;=B15,"Below fair value","Above fair value"))</f>
        <v/>
      </c>
      <c r="G15" s="49" t="inlineStr">
        <is>
          <t>Useful for capital-intensive or acquisition comparisons; watch CapEx.</t>
        </is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>
      <c r="A18" s="45" t="inlineStr">
        <is>
          <t>Summary statistics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>
      <c r="A19" s="9" t="inlineStr">
        <is>
          <t>Average Fair Value / Share</t>
        </is>
      </c>
      <c r="B19" s="25">
        <f>AVERAGE(B7:B15)</f>
        <v/>
      </c>
      <c r="C19" s="1" t="n"/>
      <c r="D19" s="47" t="inlineStr">
        <is>
          <t>Interpretation guide</t>
        </is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1.95" customHeight="1">
      <c r="A20" s="9" t="inlineStr">
        <is>
          <t>Median Fair Value / Share</t>
        </is>
      </c>
      <c r="B20" s="25">
        <f>MEDIAN(B7:B15)</f>
        <v/>
      </c>
      <c r="C20" s="1" t="n"/>
      <c r="D20" s="43" t="inlineStr">
        <is>
          <t>Below buy zone</t>
        </is>
      </c>
      <c r="E20" s="48" t="inlineStr">
        <is>
          <t>Price is below fair value after margin of safety.</t>
        </is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1.95" customHeight="1">
      <c r="A21" s="9" t="inlineStr">
        <is>
          <t>High Fair Value / Share</t>
        </is>
      </c>
      <c r="B21" s="25">
        <f>MAX(B7:B15)</f>
        <v/>
      </c>
      <c r="C21" s="1" t="n"/>
      <c r="D21" s="43" t="inlineStr">
        <is>
          <t>Below fair value</t>
        </is>
      </c>
      <c r="E21" s="48" t="inlineStr">
        <is>
          <t>Price is below model value, but not necessarily cheap enough.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.95" customHeight="1">
      <c r="A22" s="9" t="inlineStr">
        <is>
          <t>Low Fair Value / Share</t>
        </is>
      </c>
      <c r="B22" s="25">
        <f>MIN(B7:B15)</f>
        <v/>
      </c>
      <c r="C22" s="1" t="n"/>
      <c r="D22" s="43" t="inlineStr">
        <is>
          <t>Above fair value</t>
        </is>
      </c>
      <c r="E22" s="48" t="inlineStr">
        <is>
          <t>Price is above this method's estimate.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1.95" customHeight="1">
      <c r="A23" s="9" t="inlineStr">
        <is>
          <t>Average Buy Zone</t>
        </is>
      </c>
      <c r="B23" s="25">
        <f>AVERAGE(E7:E15)</f>
        <v/>
      </c>
      <c r="C23" s="1" t="n"/>
      <c r="D23" s="43" t="inlineStr">
        <is>
          <t>Reality check</t>
        </is>
      </c>
      <c r="E23" s="48" t="inlineStr">
        <is>
          <t>Confirm fundamentals before acting.</t>
        </is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</sheetData>
  <mergeCells count="8">
    <mergeCell ref="A18:H18"/>
    <mergeCell ref="A1:H1"/>
    <mergeCell ref="E23:H23"/>
    <mergeCell ref="D19:H19"/>
    <mergeCell ref="E20:H20"/>
    <mergeCell ref="E21:H21"/>
    <mergeCell ref="A5:H5"/>
    <mergeCell ref="E22:H22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topLeftCell="A17" workbookViewId="0">
      <selection activeCell="A1" sqref="A1:H1"/>
    </sheetView>
  </sheetViews>
  <sheetFormatPr baseColWidth="8" defaultRowHeight="14.25"/>
  <cols>
    <col width="30" customWidth="1" min="1" max="1"/>
    <col width="18" customWidth="1" min="2" max="2"/>
    <col width="50" customWidth="1" min="3" max="3"/>
    <col width="18" customWidth="1" min="4" max="7"/>
    <col width="24" customWidth="1" min="8" max="8"/>
  </cols>
  <sheetData>
    <row r="1" ht="18" customHeight="1">
      <c r="A1" s="44" t="inlineStr">
        <is>
          <t>Graham Formula, 2g, and Quick Multiples</t>
        </is>
      </c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45" t="inlineStr">
        <is>
          <t>Graham growth formula</t>
        </is>
      </c>
      <c r="D3" s="45" t="inlineStr">
        <is>
          <t>Worked example: growth rate → 2g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2" t="inlineStr">
        <is>
          <t>Item</t>
        </is>
      </c>
      <c r="B4" s="2" t="inlineStr">
        <is>
          <t>Value</t>
        </is>
      </c>
      <c r="C4" s="2" t="inlineStr">
        <is>
          <t>Tip</t>
        </is>
      </c>
      <c r="D4" s="2" t="inlineStr">
        <is>
          <t>Growth Rate</t>
        </is>
      </c>
      <c r="E4" s="2" t="inlineStr">
        <is>
          <t>2g Term</t>
        </is>
      </c>
      <c r="F4" s="2" t="inlineStr">
        <is>
          <t>Example EPS</t>
        </is>
      </c>
      <c r="G4" s="2" t="inlineStr">
        <is>
          <t>8.5 + 2g</t>
        </is>
      </c>
      <c r="H4" s="2" t="inlineStr">
        <is>
          <t>Adjusted Value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>
      <c r="A5" s="9" t="inlineStr">
        <is>
          <t>EPS</t>
        </is>
      </c>
      <c r="B5" s="25">
        <f>Assumptions!B15</f>
        <v/>
      </c>
      <c r="C5" s="49" t="inlineStr">
        <is>
          <t>Use normalized EPS, not a one-time boom year.</t>
        </is>
      </c>
      <c r="D5" s="27" t="n">
        <v>0</v>
      </c>
      <c r="E5" s="28">
        <f>2*D5*100</f>
        <v/>
      </c>
      <c r="F5" s="29">
        <f>Assumptions!B15</f>
        <v/>
      </c>
      <c r="G5" s="1">
        <f>8.5+E5</f>
        <v/>
      </c>
      <c r="H5" s="1">
        <f>F5*G5*4.4/(Assumptions!B37*100)</f>
        <v/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>
      <c r="A6" s="9" t="inlineStr">
        <is>
          <t>Expected EPS Growth Rate</t>
        </is>
      </c>
      <c r="B6" s="30">
        <f>Assumptions!B26</f>
        <v/>
      </c>
      <c r="C6" s="49" t="inlineStr">
        <is>
          <t>Enter as normal percent rate in Assumptions, e.g., 8%.</t>
        </is>
      </c>
      <c r="D6" s="27" t="n">
        <v>0.05</v>
      </c>
      <c r="E6" s="28">
        <f>2*D6*100</f>
        <v/>
      </c>
      <c r="F6" s="29">
        <f>Assumptions!B15</f>
        <v/>
      </c>
      <c r="G6" s="1">
        <f>8.5+E6</f>
        <v/>
      </c>
      <c r="H6" s="1">
        <f>F6*G6*4.4/(Assumptions!B37*100)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>
      <c r="A7" s="9" t="inlineStr">
        <is>
          <t>2g Term</t>
        </is>
      </c>
      <c r="B7" s="31">
        <f>2*B6*100</f>
        <v/>
      </c>
      <c r="C7" s="49" t="inlineStr">
        <is>
          <t>Formula converts 8% growth into 16 for Graham's 2g term.</t>
        </is>
      </c>
      <c r="D7" s="27" t="n">
        <v>0.08</v>
      </c>
      <c r="E7" s="28">
        <f>2*D7*100</f>
        <v/>
      </c>
      <c r="F7" s="29">
        <f>Assumptions!B15</f>
        <v/>
      </c>
      <c r="G7" s="1">
        <f>8.5+E7</f>
        <v/>
      </c>
      <c r="H7" s="1">
        <f>F7*G7*4.4/(Assumptions!B37*100)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>
      <c r="A8" s="9" t="inlineStr">
        <is>
          <t>No-growth P/E baseline</t>
        </is>
      </c>
      <c r="B8" s="31" t="n">
        <v>8.5</v>
      </c>
      <c r="C8" s="49" t="inlineStr">
        <is>
          <t>Graham's baseline P/E for no-growth company.</t>
        </is>
      </c>
      <c r="D8" s="27" t="n">
        <v>0.1</v>
      </c>
      <c r="E8" s="28">
        <f>2*D8*100</f>
        <v/>
      </c>
      <c r="F8" s="29">
        <f>Assumptions!B15</f>
        <v/>
      </c>
      <c r="G8" s="1">
        <f>8.5+E8</f>
        <v/>
      </c>
      <c r="H8" s="1">
        <f>F8*G8*4.4/(Assumptions!B37*100)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>
      <c r="A9" s="9" t="inlineStr">
        <is>
          <t>8.5 + 2g</t>
        </is>
      </c>
      <c r="B9" s="31">
        <f>B8+B7</f>
        <v/>
      </c>
      <c r="C9" s="49" t="inlineStr">
        <is>
          <t>Growth-adjusted valuation bracket.</t>
        </is>
      </c>
      <c r="D9" s="27" t="n">
        <v>0.12</v>
      </c>
      <c r="E9" s="28">
        <f>2*D9*100</f>
        <v/>
      </c>
      <c r="F9" s="29">
        <f>Assumptions!B15</f>
        <v/>
      </c>
      <c r="G9" s="1">
        <f>8.5+E9</f>
        <v/>
      </c>
      <c r="H9" s="1">
        <f>F9*G9*4.4/(Assumptions!B37*100)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>
      <c r="A10" s="9" t="inlineStr">
        <is>
          <t>Original Graham Value</t>
        </is>
      </c>
      <c r="B10" s="32">
        <f>B5*B9</f>
        <v/>
      </c>
      <c r="C10" s="49" t="inlineStr">
        <is>
          <t>EPS × (8.5 + 2g).</t>
        </is>
      </c>
      <c r="D10" s="27" t="n">
        <v>0.15</v>
      </c>
      <c r="E10" s="28">
        <f>2*D10*100</f>
        <v/>
      </c>
      <c r="F10" s="29">
        <f>Assumptions!B15</f>
        <v/>
      </c>
      <c r="G10" s="1">
        <f>8.5+E10</f>
        <v/>
      </c>
      <c r="H10" s="1">
        <f>F10*G10*4.4/(Assumptions!B37*100)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>
      <c r="A11" s="9" t="inlineStr">
        <is>
          <t>Reference bond yield</t>
        </is>
      </c>
      <c r="B11" s="32" t="n">
        <v>4.4</v>
      </c>
      <c r="C11" s="49" t="inlineStr">
        <is>
          <t>Graham's historical bond-yield adjustment reference.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4" customHeight="1">
      <c r="A12" s="9" t="inlineStr">
        <is>
          <t>Current AAA Yield</t>
        </is>
      </c>
      <c r="B12" s="25">
        <f>Assumptions!B37</f>
        <v/>
      </c>
      <c r="C12" s="49" t="inlineStr">
        <is>
          <t>Use current AAA corporate bond yield; example pulled from Assumptions.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>
      <c r="A13" s="9" t="inlineStr">
        <is>
          <t>Adjusted Graham Value</t>
        </is>
      </c>
      <c r="B13" s="32">
        <f>B10*B11/(B12*100)</f>
        <v/>
      </c>
      <c r="C13" s="49" t="inlineStr">
        <is>
          <t>Original value × 4.4 ÷ current AAA yield percentage number.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>
      <c r="A14" s="9" t="inlineStr">
        <is>
          <t>Buy Zone after MOS</t>
        </is>
      </c>
      <c r="B14" s="32">
        <f>B13*(1-Assumptions!B41)</f>
        <v/>
      </c>
      <c r="C14" s="49" t="inlineStr">
        <is>
          <t>Adjusted value × (1 − margin of safety).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>
      <c r="A15" s="9" t="inlineStr">
        <is>
          <t>Current Price</t>
        </is>
      </c>
      <c r="B15" s="25">
        <f>Assumptions!B7</f>
        <v/>
      </c>
      <c r="C15" s="49" t="inlineStr">
        <is>
          <t>Linked from Assumptions.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>
      <c r="A16" s="9" t="inlineStr">
        <is>
          <t>Upside / (Downside)</t>
        </is>
      </c>
      <c r="B16" s="33">
        <f>B13/B15-1</f>
        <v/>
      </c>
      <c r="C16" s="49" t="inlineStr">
        <is>
          <t>Adjusted Graham value ÷ current price − 1.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>
      <c r="A18" s="45" t="inlineStr">
        <is>
          <t>Modern quick multiples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>
      <c r="A19" s="2" t="inlineStr">
        <is>
          <t>Metric</t>
        </is>
      </c>
      <c r="B19" s="2" t="inlineStr">
        <is>
          <t>Result</t>
        </is>
      </c>
      <c r="C19" s="2" t="inlineStr">
        <is>
          <t>Formula</t>
        </is>
      </c>
      <c r="D19" s="2" t="inlineStr">
        <is>
          <t>When useful</t>
        </is>
      </c>
      <c r="E19" s="2" t="inlineStr">
        <is>
          <t>Tip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36" customHeight="1">
      <c r="A20" s="9" t="inlineStr">
        <is>
          <t>Current P/E</t>
        </is>
      </c>
      <c r="B20" s="34">
        <f>Assumptions!B7/Assumptions!B15</f>
        <v/>
      </c>
      <c r="C20" s="49" t="inlineStr">
        <is>
          <t>Price ÷ EPS</t>
        </is>
      </c>
      <c r="D20" s="49" t="inlineStr">
        <is>
          <t>Quick earnings comparison</t>
        </is>
      </c>
      <c r="E20" s="49" t="inlineStr">
        <is>
          <t>Compare only within similar industries and growth profiles.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48" customHeight="1">
      <c r="A21" s="9" t="inlineStr">
        <is>
          <t>PEG Ratio</t>
        </is>
      </c>
      <c r="B21" s="34">
        <f>B20/(Assumptions!B26*100)</f>
        <v/>
      </c>
      <c r="C21" s="49" t="inlineStr">
        <is>
          <t>P/E ÷ EPS growth %</t>
        </is>
      </c>
      <c r="D21" s="49" t="inlineStr">
        <is>
          <t>Growth vs valuation screen</t>
        </is>
      </c>
      <c r="E21" s="49" t="inlineStr">
        <is>
          <t>Use expected growth as a percentage number; lower is not always better.</t>
        </is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48" customHeight="1">
      <c r="A22" s="9" t="inlineStr">
        <is>
          <t>FCF Yield</t>
        </is>
      </c>
      <c r="B22" s="35">
        <f>Assumptions!B17/Assumptions!B7</f>
        <v/>
      </c>
      <c r="C22" s="49" t="inlineStr">
        <is>
          <t>FCF/share ÷ price</t>
        </is>
      </c>
      <c r="D22" s="49" t="inlineStr">
        <is>
          <t>Modern cash-flow sanity check</t>
        </is>
      </c>
      <c r="E22" s="49" t="inlineStr">
        <is>
          <t>Compare to Treasury/corporate bond yields and required return.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36" customHeight="1">
      <c r="A23" s="9" t="inlineStr">
        <is>
          <t>EV/EBIT</t>
        </is>
      </c>
      <c r="B23" s="33">
        <f>Assumptions!B14/Assumptions!B19</f>
        <v/>
      </c>
      <c r="C23" s="49" t="inlineStr">
        <is>
          <t>Enterprise value ÷ EBIT</t>
        </is>
      </c>
      <c r="D23" s="49" t="inlineStr">
        <is>
          <t>Capital-structure-aware operating multiple</t>
        </is>
      </c>
      <c r="E23" s="49" t="inlineStr">
        <is>
          <t>Often cleaner than P/E when tax/debt structures differ.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36" customHeight="1">
      <c r="A24" s="9" t="inlineStr">
        <is>
          <t>EV/EBITDA</t>
        </is>
      </c>
      <c r="B24" s="33">
        <f>Assumptions!B14/Assumptions!B20</f>
        <v/>
      </c>
      <c r="C24" s="49" t="inlineStr">
        <is>
          <t>Enterprise value ÷ EBITDA</t>
        </is>
      </c>
      <c r="D24" s="49" t="inlineStr">
        <is>
          <t>Acquisition and capital-intensive comparisons</t>
        </is>
      </c>
      <c r="E24" s="49" t="inlineStr">
        <is>
          <t>Can hide CapEx intensity.</t>
        </is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36" customHeight="1">
      <c r="A25" s="9" t="inlineStr">
        <is>
          <t>EV/Revenue</t>
        </is>
      </c>
      <c r="B25" s="33">
        <f>Assumptions!B14/Assumptions!B18</f>
        <v/>
      </c>
      <c r="C25" s="49" t="inlineStr">
        <is>
          <t>Enterprise value ÷ revenue</t>
        </is>
      </c>
      <c r="D25" s="49" t="inlineStr">
        <is>
          <t>Early-stage/growth companies</t>
        </is>
      </c>
      <c r="E25" s="49" t="inlineStr">
        <is>
          <t>Only meaningful with margin and growth context.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4" customHeight="1">
      <c r="A26" s="9" t="inlineStr">
        <is>
          <t>Earnings Yield</t>
        </is>
      </c>
      <c r="B26" s="33">
        <f>Assumptions!B15/Assumptions!B7</f>
        <v/>
      </c>
      <c r="C26" s="49" t="inlineStr">
        <is>
          <t>EPS ÷ price</t>
        </is>
      </c>
      <c r="D26" s="49" t="inlineStr">
        <is>
          <t>Inverse of P/E</t>
        </is>
      </c>
      <c r="E26" s="49" t="inlineStr">
        <is>
          <t>Compare to required return; quality matters.</t>
        </is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4" customHeight="1">
      <c r="A27" s="9" t="inlineStr">
        <is>
          <t>Target P/E Value / Share</t>
        </is>
      </c>
      <c r="B27" s="32">
        <f>Assumptions!B15*Assumptions!B38</f>
        <v/>
      </c>
      <c r="C27" s="49" t="inlineStr">
        <is>
          <t>EPS × target P/E</t>
        </is>
      </c>
      <c r="D27" s="49" t="inlineStr">
        <is>
          <t>Relative valuation cross-check</t>
        </is>
      </c>
      <c r="E27" s="49" t="inlineStr">
        <is>
          <t>Use a conservative peer multiple.</t>
        </is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4" customHeight="1">
      <c r="A28" s="9" t="inlineStr">
        <is>
          <t>Target EV/EBIT Value / Share</t>
        </is>
      </c>
      <c r="B28" s="32">
        <f>(Assumptions!B19*Assumptions!B39-Assumptions!B13)/Assumptions!B8</f>
        <v/>
      </c>
      <c r="C28" s="49" t="inlineStr">
        <is>
          <t>(EBIT × target EV/EBIT − net debt) ÷ shares</t>
        </is>
      </c>
      <c r="D28" s="49" t="inlineStr">
        <is>
          <t>Operating multiple valuation</t>
        </is>
      </c>
      <c r="E28" s="49" t="inlineStr">
        <is>
          <t>Subtract net debt before dividing by shares.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6" customHeight="1">
      <c r="A29" s="9" t="inlineStr">
        <is>
          <t>Target EV/EBITDA Value / Share</t>
        </is>
      </c>
      <c r="B29" s="32">
        <f>(Assumptions!B20*Assumptions!B40-Assumptions!B13)/Assumptions!B8</f>
        <v/>
      </c>
      <c r="C29" s="49" t="inlineStr">
        <is>
          <t>(EBITDA × target EV/EBITDA − net debt) ÷ shares</t>
        </is>
      </c>
      <c r="D29" s="49" t="inlineStr">
        <is>
          <t>Operating multiple valuation</t>
        </is>
      </c>
      <c r="E29" s="49" t="inlineStr">
        <is>
          <t>Use with caution if maintenance CapEx is high.</t>
        </is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</sheetData>
  <mergeCells count="4">
    <mergeCell ref="A18:H18"/>
    <mergeCell ref="A3:C3"/>
    <mergeCell ref="D3:H3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workbookViewId="0">
      <selection activeCell="A1" sqref="A1:H1"/>
    </sheetView>
  </sheetViews>
  <sheetFormatPr baseColWidth="8" defaultRowHeight="14.25"/>
  <cols>
    <col width="30" customWidth="1" min="1" max="1"/>
    <col width="18" customWidth="1" min="2" max="7"/>
    <col width="42" customWidth="1" min="8" max="8"/>
  </cols>
  <sheetData>
    <row r="1" ht="18" customHeight="1">
      <c r="A1" s="44" t="inlineStr">
        <is>
          <t>Free Cash Flow DCF Calculator</t>
        </is>
      </c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45" t="inlineStr">
        <is>
          <t>Single-stage FCF perpetuity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2" t="inlineStr">
        <is>
          <t>Item</t>
        </is>
      </c>
      <c r="B4" s="2" t="inlineStr">
        <is>
          <t>Value</t>
        </is>
      </c>
      <c r="C4" s="2" t="inlineStr">
        <is>
          <t>Tip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36" customHeight="1">
      <c r="A5" s="9" t="inlineStr">
        <is>
          <t>Current FCF / Share</t>
        </is>
      </c>
      <c r="B5" s="25">
        <f>Assumptions!B17</f>
        <v/>
      </c>
      <c r="C5" s="49" t="inlineStr">
        <is>
          <t>Use durable free cash flow, not a one-time spike.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4" customHeight="1">
      <c r="A6" s="9" t="inlineStr">
        <is>
          <t>FCF Growth Rate</t>
        </is>
      </c>
      <c r="B6" s="30">
        <f>Assumptions!B27</f>
        <v/>
      </c>
      <c r="C6" s="49" t="inlineStr">
        <is>
          <t>Next-year growth assumption.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4" customHeight="1">
      <c r="A7" s="9" t="inlineStr">
        <is>
          <t>Next-year FCF / Share</t>
        </is>
      </c>
      <c r="B7" s="35">
        <f>B5*(1+B6)</f>
        <v/>
      </c>
      <c r="C7" s="49" t="inlineStr">
        <is>
          <t>Current FCF/share × (1 + growth).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>
      <c r="A8" s="9" t="inlineStr">
        <is>
          <t>Discount Rate / WACC</t>
        </is>
      </c>
      <c r="B8" s="27">
        <f>Assumptions!B30</f>
        <v/>
      </c>
      <c r="C8" s="49" t="inlineStr">
        <is>
          <t>Required return.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4" customHeight="1">
      <c r="A9" s="9" t="inlineStr">
        <is>
          <t>Terminal Growth Rate</t>
        </is>
      </c>
      <c r="B9" s="27">
        <f>Assumptions!B29</f>
        <v/>
      </c>
      <c r="C9" s="49" t="inlineStr">
        <is>
          <t>Must be less than discount rate.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36" customHeight="1">
      <c r="A10" s="9" t="inlineStr">
        <is>
          <t>Single-stage Value / Share</t>
        </is>
      </c>
      <c r="B10" s="29">
        <f>IF(B8&gt;B9,B7/(B8-B9),NA())</f>
        <v/>
      </c>
      <c r="C10" s="49" t="inlineStr">
        <is>
          <t>Next-year FCF/share ÷ (discount rate − terminal growth).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4" customHeight="1">
      <c r="A11" s="9" t="inlineStr">
        <is>
          <t>Buy Zone after MOS</t>
        </is>
      </c>
      <c r="B11" s="29">
        <f>B10*(1-Assumptions!B41)</f>
        <v/>
      </c>
      <c r="C11" s="49" t="inlineStr">
        <is>
          <t>Value × (1 − margin of safety).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4" customHeight="1">
      <c r="A12" s="9" t="inlineStr">
        <is>
          <t>Current Price</t>
        </is>
      </c>
      <c r="B12" s="29">
        <f>Assumptions!B7</f>
        <v/>
      </c>
      <c r="C12" s="49" t="inlineStr">
        <is>
          <t>Linked from Assumptions.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4" customHeight="1">
      <c r="A13" s="9" t="inlineStr">
        <is>
          <t>Upside / (Downside)</t>
        </is>
      </c>
      <c r="B13" s="1">
        <f>B10/B12-1</f>
        <v/>
      </c>
      <c r="C13" s="49" t="inlineStr">
        <is>
          <t>Value ÷ current price − 1.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>
      <c r="A16" s="45" t="inlineStr">
        <is>
          <t>5-year FCF/share DCF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2" t="n"/>
      <c r="B17" s="2" t="inlineStr">
        <is>
          <t>Year 0</t>
        </is>
      </c>
      <c r="C17" s="2" t="inlineStr">
        <is>
          <t>Year 1</t>
        </is>
      </c>
      <c r="D17" s="2" t="inlineStr">
        <is>
          <t>Year 2</t>
        </is>
      </c>
      <c r="E17" s="2" t="inlineStr">
        <is>
          <t>Year 3</t>
        </is>
      </c>
      <c r="F17" s="2" t="inlineStr">
        <is>
          <t>Year 4</t>
        </is>
      </c>
      <c r="G17" s="2" t="inlineStr">
        <is>
          <t>Year 5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>
      <c r="A18" s="9" t="inlineStr">
        <is>
          <t>Growth Rate</t>
        </is>
      </c>
      <c r="B18" s="1" t="inlineStr">
        <is>
          <t>-</t>
        </is>
      </c>
      <c r="C18" s="17" t="n">
        <v>0.07000000000000001</v>
      </c>
      <c r="D18" s="17" t="n">
        <v>0.06</v>
      </c>
      <c r="E18" s="17" t="n">
        <v>0.05</v>
      </c>
      <c r="F18" s="17" t="n">
        <v>0.04</v>
      </c>
      <c r="G18" s="17" t="n">
        <v>0.035</v>
      </c>
      <c r="H18" s="47" t="inlineStr">
        <is>
          <t>Tip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48" customHeight="1">
      <c r="A19" s="9" t="inlineStr">
        <is>
          <t>FCF / Share</t>
        </is>
      </c>
      <c r="B19" s="29">
        <f>Assumptions!B17</f>
        <v/>
      </c>
      <c r="C19" s="29">
        <f>B19*(1+C18)</f>
        <v/>
      </c>
      <c r="D19" s="29">
        <f>C19*(1+D18)</f>
        <v/>
      </c>
      <c r="E19" s="29">
        <f>D19*(1+E18)</f>
        <v/>
      </c>
      <c r="F19" s="29">
        <f>E19*(1+F18)</f>
        <v/>
      </c>
      <c r="G19" s="29">
        <f>F19*(1+G18)</f>
        <v/>
      </c>
      <c r="H19" s="49" t="inlineStr">
        <is>
          <t>Year-by-year DCF is usually more useful than a one-line perpetuity because it lets you fade high growth toward a realistic terminal rate. For firm-level DCF, forecast FCFF in $mm, subtract net debt, then divide by diluted shares.</t>
        </is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>
      <c r="A20" s="9" t="inlineStr">
        <is>
          <t>Discount Factor</t>
        </is>
      </c>
      <c r="B20" s="1" t="n"/>
      <c r="C20" s="36">
        <f>1/(1+Assumptions!B30)^1</f>
        <v/>
      </c>
      <c r="D20" s="36">
        <f>1/(1+Assumptions!B30)^2</f>
        <v/>
      </c>
      <c r="E20" s="36">
        <f>1/(1+Assumptions!B30)^3</f>
        <v/>
      </c>
      <c r="F20" s="36">
        <f>1/(1+Assumptions!B30)^4</f>
        <v/>
      </c>
      <c r="G20" s="36">
        <f>1/(1+Assumptions!B30)^5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>
      <c r="A21" s="9" t="inlineStr">
        <is>
          <t>PV of FCF</t>
        </is>
      </c>
      <c r="B21" s="1" t="n"/>
      <c r="C21" s="1">
        <f>C19*C20</f>
        <v/>
      </c>
      <c r="D21" s="1">
        <f>D19*D20</f>
        <v/>
      </c>
      <c r="E21" s="1">
        <f>E19*E20</f>
        <v/>
      </c>
      <c r="F21" s="1">
        <f>F19*F20</f>
        <v/>
      </c>
      <c r="G21" s="1">
        <f>G19*G20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>
      <c r="A22" s="9" t="inlineStr">
        <is>
          <t>Terminal Value</t>
        </is>
      </c>
      <c r="B22" s="1" t="n"/>
      <c r="C22" s="1" t="n"/>
      <c r="D22" s="1" t="n"/>
      <c r="E22" s="1" t="n"/>
      <c r="F22" s="1" t="n"/>
      <c r="G22" s="1">
        <f>IF(Assumptions!B30&gt;Assumptions!B29,G19*(1+Assumptions!B29)/(Assumptions!B30-Assumptions!B29),NA())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>
      <c r="A23" s="9" t="inlineStr">
        <is>
          <t>PV of Terminal Value</t>
        </is>
      </c>
      <c r="B23" s="1" t="n"/>
      <c r="C23" s="1" t="n"/>
      <c r="D23" s="1" t="n"/>
      <c r="E23" s="1" t="n"/>
      <c r="F23" s="1" t="n"/>
      <c r="G23" s="1">
        <f>G22*G20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>
      <c r="A25" s="9" t="inlineStr">
        <is>
          <t>5-year DCF Value / Share</t>
        </is>
      </c>
      <c r="B25" s="33">
        <f>SUM(C21:G21)+G23</f>
        <v/>
      </c>
      <c r="C25" s="1" t="n"/>
      <c r="D25" s="1" t="n"/>
      <c r="E25" s="1" t="n"/>
      <c r="F25" s="1" t="n"/>
      <c r="G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>
      <c r="A26" s="9" t="inlineStr">
        <is>
          <t>Buy Zone after MOS</t>
        </is>
      </c>
      <c r="B26" s="33">
        <f>B25*(1-Assumptions!B41)</f>
        <v/>
      </c>
      <c r="C26" s="1" t="n"/>
      <c r="D26" s="1" t="n"/>
      <c r="E26" s="1" t="n"/>
      <c r="F26" s="1" t="n"/>
      <c r="G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>
      <c r="A27" s="9" t="inlineStr">
        <is>
          <t>Current Price</t>
        </is>
      </c>
      <c r="B27" s="37">
        <f>Assumptions!B7</f>
        <v/>
      </c>
      <c r="C27" s="1" t="n"/>
      <c r="D27" s="1" t="n"/>
      <c r="E27" s="1" t="n"/>
      <c r="F27" s="1" t="n"/>
      <c r="G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>
      <c r="A28" s="9" t="inlineStr">
        <is>
          <t>Upside / (Downside)</t>
        </is>
      </c>
      <c r="B28" s="33">
        <f>B25/B27-1</f>
        <v/>
      </c>
      <c r="C28" s="1" t="n"/>
      <c r="D28" s="1" t="n"/>
      <c r="E28" s="1" t="n"/>
      <c r="F28" s="1" t="n"/>
      <c r="G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</sheetData>
  <mergeCells count="4">
    <mergeCell ref="A3:C3"/>
    <mergeCell ref="A16:H16"/>
    <mergeCell ref="H19:H28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workbookViewId="0">
      <selection activeCell="A1" sqref="A1:H1"/>
    </sheetView>
  </sheetViews>
  <sheetFormatPr baseColWidth="8" defaultRowHeight="14.25"/>
  <cols>
    <col width="32" customWidth="1" min="1" max="1"/>
    <col width="18" customWidth="1" min="2" max="2"/>
    <col width="44" customWidth="1" min="3" max="3"/>
    <col width="18" customWidth="1" min="4" max="8"/>
  </cols>
  <sheetData>
    <row r="1" ht="18" customHeight="1">
      <c r="A1" s="44" t="inlineStr">
        <is>
          <t>Quality, Reinvestment, and Per-Share Growth</t>
        </is>
      </c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45" t="inlineStr">
        <is>
          <t>ROIC and economic profit</t>
        </is>
      </c>
      <c r="D3" s="1" t="n"/>
      <c r="E3" s="45" t="inlineStr">
        <is>
          <t>Dilution-adjusted per-share growth example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2" t="inlineStr">
        <is>
          <t>Item</t>
        </is>
      </c>
      <c r="B4" s="2" t="inlineStr">
        <is>
          <t>Value</t>
        </is>
      </c>
      <c r="C4" s="2" t="inlineStr">
        <is>
          <t>Tip</t>
        </is>
      </c>
      <c r="D4" s="1" t="n"/>
      <c r="E4" s="2" t="inlineStr">
        <is>
          <t>Metric</t>
        </is>
      </c>
      <c r="F4" s="2" t="inlineStr">
        <is>
          <t>Year 1</t>
        </is>
      </c>
      <c r="G4" s="2" t="inlineStr">
        <is>
          <t>Year 2</t>
        </is>
      </c>
      <c r="H4" s="2" t="inlineStr">
        <is>
          <t>Growth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>
      <c r="A5" s="9" t="inlineStr">
        <is>
          <t>EBIT</t>
        </is>
      </c>
      <c r="B5" s="38">
        <f>Assumptions!B19</f>
        <v/>
      </c>
      <c r="C5" s="49" t="inlineStr">
        <is>
          <t>Operating income before interest and taxes.</t>
        </is>
      </c>
      <c r="D5" s="1" t="n"/>
      <c r="E5" s="9" t="inlineStr">
        <is>
          <t>Total FCF ($mm)</t>
        </is>
      </c>
      <c r="F5" s="15" t="n">
        <v>1000</v>
      </c>
      <c r="G5" s="15" t="n">
        <v>1200</v>
      </c>
      <c r="H5" s="27">
        <f>G5/F5-1</f>
        <v/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>
      <c r="A6" s="9" t="inlineStr">
        <is>
          <t>Tax Rate</t>
        </is>
      </c>
      <c r="B6" s="30">
        <f>Assumptions!B25</f>
        <v/>
      </c>
      <c r="C6" s="49" t="inlineStr">
        <is>
          <t>Use normalized cash tax rate.</t>
        </is>
      </c>
      <c r="D6" s="1" t="n"/>
      <c r="E6" s="9" t="inlineStr">
        <is>
          <t>Diluted Shares (mm)</t>
        </is>
      </c>
      <c r="F6" s="39" t="n">
        <v>100</v>
      </c>
      <c r="G6" s="39" t="n">
        <v>120</v>
      </c>
      <c r="H6" s="27">
        <f>G6/F6-1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>
      <c r="A7" s="9" t="inlineStr">
        <is>
          <t>NOPAT</t>
        </is>
      </c>
      <c r="B7" s="35">
        <f>B5*(1-B6)</f>
        <v/>
      </c>
      <c r="C7" s="49" t="inlineStr">
        <is>
          <t>EBIT × (1 − tax rate).</t>
        </is>
      </c>
      <c r="D7" s="1" t="n"/>
      <c r="E7" s="9" t="inlineStr">
        <is>
          <t>FCF / Share</t>
        </is>
      </c>
      <c r="F7" s="32">
        <f>F5/F6</f>
        <v/>
      </c>
      <c r="G7" s="32">
        <f>G5/G6</f>
        <v/>
      </c>
      <c r="H7" s="35">
        <f>G7/F7-1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>
      <c r="A8" s="9" t="inlineStr">
        <is>
          <t>Invested Capital</t>
        </is>
      </c>
      <c r="B8" s="27">
        <f>Assumptions!B24</f>
        <v/>
      </c>
      <c r="C8" s="49" t="inlineStr">
        <is>
          <t>Capital actually required to operate business.</t>
        </is>
      </c>
      <c r="D8" s="1" t="n"/>
      <c r="E8" s="9" t="inlineStr">
        <is>
          <t>Company-level FCF growth</t>
        </is>
      </c>
      <c r="F8" s="33" t="n"/>
      <c r="G8" s="33" t="n"/>
      <c r="H8" s="35">
        <f>H5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>
      <c r="A9" s="9" t="inlineStr">
        <is>
          <t>Calculated ROIC</t>
        </is>
      </c>
      <c r="B9" s="27">
        <f>B7/B8</f>
        <v/>
      </c>
      <c r="C9" s="49" t="inlineStr">
        <is>
          <t>NOPAT ÷ invested capital.</t>
        </is>
      </c>
      <c r="D9" s="1" t="n"/>
      <c r="E9" s="9" t="inlineStr">
        <is>
          <t>Per-share FCF growth</t>
        </is>
      </c>
      <c r="F9" s="33" t="n"/>
      <c r="G9" s="33" t="n"/>
      <c r="H9" s="35">
        <f>H7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>
      <c r="A10" s="9" t="inlineStr">
        <is>
          <t>WACC</t>
        </is>
      </c>
      <c r="B10" s="27">
        <f>Assumptions!B30</f>
        <v/>
      </c>
      <c r="C10" s="49" t="inlineStr">
        <is>
          <t>Required return / cost of capital.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08" customHeight="1">
      <c r="A11" s="9" t="inlineStr">
        <is>
          <t>ROIC Spread</t>
        </is>
      </c>
      <c r="B11" s="27">
        <f>B9-B10</f>
        <v/>
      </c>
      <c r="C11" s="49" t="inlineStr">
        <is>
          <t>ROIC − WACC. Positive spread creates value.</t>
        </is>
      </c>
      <c r="D11" s="1" t="n"/>
      <c r="E11" s="50" t="inlineStr">
        <is>
          <t>Why this matters: a company can grow total free cash flow but fail to grow FCF per share if share count rises too quickly. Always check diluted share count and stock-based compensation.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9" t="inlineStr">
        <is>
          <t>Economic Profit</t>
        </is>
      </c>
      <c r="B12" s="1">
        <f>B7-(B10*B8)</f>
        <v/>
      </c>
      <c r="C12" s="49" t="inlineStr">
        <is>
          <t>NOPAT − (WACC × invested capital).</t>
        </is>
      </c>
      <c r="D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>
      <c r="A13" s="9" t="inlineStr">
        <is>
          <t>Interpretation</t>
        </is>
      </c>
      <c r="B13" s="1">
        <f>IF(B11&gt;0.05,"Strong value creation",IF(B11&gt;0,"Positive spread","Watch: ROIC below WACC"))</f>
        <v/>
      </c>
      <c r="C13" s="49" t="inlineStr">
        <is>
          <t>Value creators earn ROIC above WACC.</t>
        </is>
      </c>
      <c r="D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>
      <c r="A14" s="1" t="n"/>
      <c r="B14" s="1" t="n"/>
      <c r="C14" s="1" t="n"/>
      <c r="D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>
      <c r="A15" s="1" t="n"/>
      <c r="B15" s="1" t="n"/>
      <c r="C15" s="1" t="n"/>
      <c r="D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>
      <c r="A16" s="45" t="inlineStr">
        <is>
          <t>Growth from reinvestment</t>
        </is>
      </c>
      <c r="D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2" t="inlineStr">
        <is>
          <t>Item</t>
        </is>
      </c>
      <c r="B17" s="2" t="inlineStr">
        <is>
          <t>Value</t>
        </is>
      </c>
      <c r="C17" s="2" t="inlineStr">
        <is>
          <t>Tip</t>
        </is>
      </c>
      <c r="D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>
      <c r="A18" s="9" t="inlineStr">
        <is>
          <t>Reinvestment Rate</t>
        </is>
      </c>
      <c r="B18" s="30">
        <f>Assumptions!B33</f>
        <v/>
      </c>
      <c r="C18" s="49" t="inlineStr">
        <is>
          <t>Reinvestment ÷ NOPAT.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>
      <c r="A19" s="9" t="inlineStr">
        <is>
          <t>ROIC Assumption</t>
        </is>
      </c>
      <c r="B19" s="30">
        <f>Assumptions!B34</f>
        <v/>
      </c>
      <c r="C19" s="49" t="inlineStr">
        <is>
          <t>Forward ROIC assumption.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>
      <c r="A20" s="9" t="inlineStr">
        <is>
          <t>Fundamental Growth Estimate</t>
        </is>
      </c>
      <c r="B20" s="35">
        <f>B18*B19</f>
        <v/>
      </c>
      <c r="C20" s="49" t="inlineStr">
        <is>
          <t>Reinvestment rate × ROIC.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>
      <c r="A21" s="9" t="inlineStr">
        <is>
          <t>Compare to EPS Growth Assumption</t>
        </is>
      </c>
      <c r="B21" s="27">
        <f>Assumptions!B26</f>
        <v/>
      </c>
      <c r="C21" s="49" t="inlineStr">
        <is>
          <t>If assumed growth is much higher, investigate why.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>
      <c r="A24" s="45" t="inlineStr">
        <is>
          <t>Rule of 40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>
      <c r="A25" s="2" t="inlineStr">
        <is>
          <t>Item</t>
        </is>
      </c>
      <c r="B25" s="2" t="inlineStr">
        <is>
          <t>Value</t>
        </is>
      </c>
      <c r="C25" s="2" t="inlineStr">
        <is>
          <t>Tip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>
      <c r="A26" s="9" t="inlineStr">
        <is>
          <t>Revenue Growth Rate</t>
        </is>
      </c>
      <c r="B26" s="30">
        <f>Assumptions!B28</f>
        <v/>
      </c>
      <c r="C26" s="49" t="inlineStr">
        <is>
          <t>Growth component.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>
      <c r="A27" s="9" t="inlineStr">
        <is>
          <t>FCF Margin</t>
        </is>
      </c>
      <c r="B27" s="30">
        <f>Assumptions!B35</f>
        <v/>
      </c>
      <c r="C27" s="49" t="inlineStr">
        <is>
          <t>Profitability component.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>
      <c r="A28" s="9" t="inlineStr">
        <is>
          <t>Rule of 40 Score</t>
        </is>
      </c>
      <c r="B28" s="35">
        <f>B26+B27</f>
        <v/>
      </c>
      <c r="C28" s="49" t="inlineStr">
        <is>
          <t>Revenue growth + FCF margin.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>
      <c r="A29" s="9" t="inlineStr">
        <is>
          <t>Interpretation</t>
        </is>
      </c>
      <c r="B29" s="33">
        <f>IF(B28&gt;=0.4,"Strong balance of growth + margin",IF(B28&gt;=0.25,"Okay / needs context","Weak or early-stage"))</f>
        <v/>
      </c>
      <c r="C29" s="49" t="inlineStr">
        <is>
          <t>&gt;= 40% is commonly considered strong for SaaS/software.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</sheetData>
  <mergeCells count="6">
    <mergeCell ref="E3:H3"/>
    <mergeCell ref="A3:C3"/>
    <mergeCell ref="A1:H1"/>
    <mergeCell ref="E11:H17"/>
    <mergeCell ref="A24:C24"/>
    <mergeCell ref="A16:C16"/>
  </mergeCells>
  <conditionalFormatting sqref="B11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workbookViewId="0">
      <selection activeCell="A1" sqref="A1:H1"/>
    </sheetView>
  </sheetViews>
  <sheetFormatPr baseColWidth="8" defaultRowHeight="14.25"/>
  <cols>
    <col width="32" customWidth="1" min="1" max="1"/>
    <col width="18" customWidth="1" min="2" max="2"/>
    <col width="48" customWidth="1" min="3" max="3"/>
    <col width="20" customWidth="1" min="4" max="4"/>
    <col width="18" customWidth="1" min="5" max="8"/>
  </cols>
  <sheetData>
    <row r="1" ht="18" customHeight="1">
      <c r="A1" s="44" t="inlineStr">
        <is>
          <t>Residual Income and Justified Multiples</t>
        </is>
      </c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45" t="inlineStr">
        <is>
          <t>Residual income value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2" t="inlineStr">
        <is>
          <t>Item</t>
        </is>
      </c>
      <c r="B4" s="2" t="inlineStr">
        <is>
          <t>Value</t>
        </is>
      </c>
      <c r="C4" s="2" t="inlineStr">
        <is>
          <t>Tip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>
      <c r="A5" s="9" t="inlineStr">
        <is>
          <t>Book Value / Share</t>
        </is>
      </c>
      <c r="B5" s="25">
        <f>Assumptions!B16</f>
        <v/>
      </c>
      <c r="C5" s="49" t="inlineStr">
        <is>
          <t>Starting equity value on the balance sheet.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>
      <c r="A6" s="9" t="inlineStr">
        <is>
          <t>EPS</t>
        </is>
      </c>
      <c r="B6" s="25">
        <f>Assumptions!B15</f>
        <v/>
      </c>
      <c r="C6" s="49" t="inlineStr">
        <is>
          <t>Use normalized EPS.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>
      <c r="A7" s="9" t="inlineStr">
        <is>
          <t>Cost of Equity</t>
        </is>
      </c>
      <c r="B7" s="30">
        <f>Assumptions!B31</f>
        <v/>
      </c>
      <c r="C7" s="49" t="inlineStr">
        <is>
          <t>Required return for equity investors.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>
      <c r="A8" s="9" t="inlineStr">
        <is>
          <t>Residual Income Growth</t>
        </is>
      </c>
      <c r="B8" s="30">
        <f>Assumptions!B29</f>
        <v/>
      </c>
      <c r="C8" s="49" t="inlineStr">
        <is>
          <t>Use conservative long-run growth.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>
      <c r="A9" s="9" t="inlineStr">
        <is>
          <t>Equity Charge / Share</t>
        </is>
      </c>
      <c r="B9" s="33">
        <f>B5*B7</f>
        <v/>
      </c>
      <c r="C9" s="49" t="inlineStr">
        <is>
          <t>Book value × cost of equity.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>
      <c r="A10" s="9" t="inlineStr">
        <is>
          <t>Residual Income / Share</t>
        </is>
      </c>
      <c r="B10" s="33">
        <f>B6-B9</f>
        <v/>
      </c>
      <c r="C10" s="49" t="inlineStr">
        <is>
          <t>EPS − equity charge.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>
      <c r="A11" s="9" t="inlineStr">
        <is>
          <t>Residual Income Value Add</t>
        </is>
      </c>
      <c r="B11" s="33">
        <f>IF(B7&gt;B8,B10/(B7-B8),NA())</f>
        <v/>
      </c>
      <c r="C11" s="49" t="inlineStr">
        <is>
          <t>Residual income ÷ (cost of equity − growth).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9" t="inlineStr">
        <is>
          <t>Residual Income Fair Value / Share</t>
        </is>
      </c>
      <c r="B12" s="33">
        <f>B5+B11</f>
        <v/>
      </c>
      <c r="C12" s="49" t="inlineStr">
        <is>
          <t>Book value + PV residual income.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>
      <c r="A13" s="9" t="inlineStr">
        <is>
          <t>Buy Zone after MOS</t>
        </is>
      </c>
      <c r="B13" s="33">
        <f>B12*(1-Assumptions!B41)</f>
        <v/>
      </c>
      <c r="C13" s="49" t="inlineStr">
        <is>
          <t>Value × (1 − margin of safety).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>
      <c r="A14" s="9" t="inlineStr">
        <is>
          <t>Current Price</t>
        </is>
      </c>
      <c r="B14" s="1">
        <f>Assumptions!B7</f>
        <v/>
      </c>
      <c r="C14" s="49" t="inlineStr">
        <is>
          <t>Linked from Assumptions.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>
      <c r="A15" s="9" t="inlineStr">
        <is>
          <t>Upside / (Downside)</t>
        </is>
      </c>
      <c r="B15" s="1">
        <f>B12/B14-1</f>
        <v/>
      </c>
      <c r="C15" s="49" t="inlineStr">
        <is>
          <t>Value ÷ current price − 1.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>
      <c r="A18" s="45" t="inlineStr">
        <is>
          <t>Justified P/E</t>
        </is>
      </c>
      <c r="D18" s="1" t="n"/>
      <c r="E18" s="45" t="inlineStr">
        <is>
          <t>Justified P/B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>
      <c r="A19" s="2" t="inlineStr">
        <is>
          <t>Item</t>
        </is>
      </c>
      <c r="B19" s="2" t="inlineStr">
        <is>
          <t>Value</t>
        </is>
      </c>
      <c r="C19" s="2" t="inlineStr">
        <is>
          <t>Tip</t>
        </is>
      </c>
      <c r="D19" s="1" t="n"/>
      <c r="E19" s="2" t="inlineStr">
        <is>
          <t>Item</t>
        </is>
      </c>
      <c r="F19" s="2" t="inlineStr">
        <is>
          <t>Value</t>
        </is>
      </c>
      <c r="G19" s="2" t="inlineStr">
        <is>
          <t>Formula</t>
        </is>
      </c>
      <c r="H19" s="2" t="inlineStr">
        <is>
          <t>Tip</t>
        </is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4" customHeight="1">
      <c r="A20" s="9" t="inlineStr">
        <is>
          <t>Payout Ratio</t>
        </is>
      </c>
      <c r="B20" s="30">
        <f>Assumptions!B32</f>
        <v/>
      </c>
      <c r="C20" s="49" t="inlineStr">
        <is>
          <t>Stable payout ratio.</t>
        </is>
      </c>
      <c r="D20" s="1" t="n"/>
      <c r="E20" s="9" t="inlineStr">
        <is>
          <t>ROE</t>
        </is>
      </c>
      <c r="F20" s="35">
        <f>Assumptions!B15/Assumptions!B16</f>
        <v/>
      </c>
      <c r="G20" s="49" t="inlineStr">
        <is>
          <t>EPS ÷ book value/share</t>
        </is>
      </c>
      <c r="H20" s="49" t="inlineStr">
        <is>
          <t>Higher sustainable ROE deserves higher P/B.</t>
        </is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4" customHeight="1">
      <c r="A21" s="9" t="inlineStr">
        <is>
          <t>Cost of Equity</t>
        </is>
      </c>
      <c r="B21" s="30">
        <f>Assumptions!B31</f>
        <v/>
      </c>
      <c r="C21" s="49" t="inlineStr">
        <is>
          <t>Required equity return.</t>
        </is>
      </c>
      <c r="D21" s="1" t="n"/>
      <c r="E21" s="9" t="inlineStr">
        <is>
          <t>Stable Growth Rate</t>
        </is>
      </c>
      <c r="F21" s="35">
        <f>Assumptions!B29</f>
        <v/>
      </c>
      <c r="G21" s="49" t="inlineStr">
        <is>
          <t>Linked from terminal growth</t>
        </is>
      </c>
      <c r="H21" s="49" t="inlineStr">
        <is>
          <t>Keep conservative.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4" customHeight="1">
      <c r="A22" s="9" t="inlineStr">
        <is>
          <t>Stable Growth Rate</t>
        </is>
      </c>
      <c r="B22" s="30">
        <f>Assumptions!B29</f>
        <v/>
      </c>
      <c r="C22" s="49" t="inlineStr">
        <is>
          <t>Use conservative long-run rate.</t>
        </is>
      </c>
      <c r="D22" s="1" t="n"/>
      <c r="E22" s="9" t="inlineStr">
        <is>
          <t>Cost of Equity</t>
        </is>
      </c>
      <c r="F22" s="35">
        <f>Assumptions!B31</f>
        <v/>
      </c>
      <c r="G22" s="49" t="inlineStr">
        <is>
          <t>Linked from assumptions</t>
        </is>
      </c>
      <c r="H22" s="49" t="inlineStr">
        <is>
          <t>Required equity return.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4" customHeight="1">
      <c r="A23" s="9" t="inlineStr">
        <is>
          <t>Justified P/E</t>
        </is>
      </c>
      <c r="B23" s="34">
        <f>IF(B21&gt;B22,B20/(B21-B22),NA())</f>
        <v/>
      </c>
      <c r="C23" s="49" t="inlineStr">
        <is>
          <t>Payout ratio ÷ (cost of equity − growth).</t>
        </is>
      </c>
      <c r="D23" s="1" t="n"/>
      <c r="E23" s="9" t="inlineStr">
        <is>
          <t>Justified P/B</t>
        </is>
      </c>
      <c r="F23" s="34">
        <f>IF(F22&gt;F21,(F20-F21)/(F22-F21),NA())</f>
        <v/>
      </c>
      <c r="G23" s="49" t="inlineStr">
        <is>
          <t>(ROE − growth) ÷ (cost of equity − growth)</t>
        </is>
      </c>
      <c r="H23" s="49" t="inlineStr">
        <is>
          <t>Useful for banks/insurers.</t>
        </is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4" customHeight="1">
      <c r="A24" s="9" t="inlineStr">
        <is>
          <t>Fair Value / Share</t>
        </is>
      </c>
      <c r="B24" s="32">
        <f>B23*Assumptions!B15</f>
        <v/>
      </c>
      <c r="C24" s="49" t="inlineStr">
        <is>
          <t>EPS × justified P/E.</t>
        </is>
      </c>
      <c r="D24" s="1" t="n"/>
      <c r="E24" s="9" t="inlineStr">
        <is>
          <t>Fair Value / Share</t>
        </is>
      </c>
      <c r="F24" s="32">
        <f>F23*Assumptions!B16</f>
        <v/>
      </c>
      <c r="G24" s="49" t="inlineStr">
        <is>
          <t>Book value/share × justified P/B</t>
        </is>
      </c>
      <c r="H24" s="49" t="inlineStr">
        <is>
          <t>Compare to current price.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>
      <c r="A27" s="45" t="inlineStr">
        <is>
          <t>Dashboard output helpers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>
      <c r="A28" s="9" t="inlineStr">
        <is>
          <t>Residual Income Value / Share</t>
        </is>
      </c>
      <c r="B28" s="32">
        <f>B12</f>
        <v/>
      </c>
      <c r="C28" s="49" t="inlineStr">
        <is>
          <t>Linked from B12.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>
      <c r="A29" s="9" t="inlineStr">
        <is>
          <t>Justified P/E Value / Share</t>
        </is>
      </c>
      <c r="B29" s="32">
        <f>B24</f>
        <v/>
      </c>
      <c r="C29" s="49" t="inlineStr">
        <is>
          <t>Linked from B24.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9" t="inlineStr">
        <is>
          <t>Justified P/B Value / Share</t>
        </is>
      </c>
      <c r="B30" s="32">
        <f>F24</f>
        <v/>
      </c>
      <c r="C30" s="49" t="inlineStr">
        <is>
          <t>Linked from F24.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</sheetData>
  <mergeCells count="5">
    <mergeCell ref="E18:H18"/>
    <mergeCell ref="A18:C18"/>
    <mergeCell ref="A27:C27"/>
    <mergeCell ref="A3:C3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workbookViewId="0">
      <selection activeCell="A1" sqref="A1:H1"/>
    </sheetView>
  </sheetViews>
  <sheetFormatPr baseColWidth="8" defaultRowHeight="14.25"/>
  <cols>
    <col width="32" customWidth="1" min="1" max="1"/>
    <col width="18" customWidth="1" min="2" max="2"/>
    <col width="20" customWidth="1" min="3" max="3"/>
    <col width="48" customWidth="1" min="4" max="4"/>
    <col width="20" customWidth="1" min="5" max="8"/>
  </cols>
  <sheetData>
    <row r="1" ht="18" customHeight="1">
      <c r="A1" s="44" t="inlineStr">
        <is>
          <t>Balance Sheet and Downside Safety Checks</t>
        </is>
      </c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45" t="inlineStr">
        <is>
          <t>Core credit and liquidity ratios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2" t="inlineStr">
        <is>
          <t>Item</t>
        </is>
      </c>
      <c r="B4" s="2" t="inlineStr">
        <is>
          <t>Value</t>
        </is>
      </c>
      <c r="C4" s="2" t="inlineStr">
        <is>
          <t>Status</t>
        </is>
      </c>
      <c r="D4" s="2" t="inlineStr">
        <is>
          <t>Tip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>
      <c r="A5" s="9" t="inlineStr">
        <is>
          <t>Net Debt</t>
        </is>
      </c>
      <c r="B5" s="38">
        <f>Assumptions!B13</f>
        <v/>
      </c>
      <c r="C5" s="1" t="n"/>
      <c r="D5" s="49" t="inlineStr">
        <is>
          <t>Debt + preferred/minority interest − cash.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>
      <c r="A6" s="9" t="inlineStr">
        <is>
          <t>EBITDA</t>
        </is>
      </c>
      <c r="B6" s="38">
        <f>Assumptions!B20</f>
        <v/>
      </c>
      <c r="C6" s="1" t="n"/>
      <c r="D6" s="49" t="inlineStr">
        <is>
          <t>Used for debt capacity checks.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>
      <c r="A7" s="9" t="inlineStr">
        <is>
          <t>Net Debt / EBITDA</t>
        </is>
      </c>
      <c r="B7" s="34">
        <f>B5/B6</f>
        <v/>
      </c>
      <c r="C7" s="3">
        <f>IF(B7&lt;2,"Strong",IF(B7&lt;=4,"Watch","Risky"))</f>
        <v/>
      </c>
      <c r="D7" s="49" t="inlineStr">
        <is>
          <t>&lt;2x usually safer; 2–4x watch; &gt;4x risky unless very stable.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>
      <c r="A8" s="9" t="inlineStr">
        <is>
          <t>EBIT</t>
        </is>
      </c>
      <c r="B8" s="1">
        <f>Assumptions!B19</f>
        <v/>
      </c>
      <c r="C8" s="1" t="n"/>
      <c r="D8" s="49" t="inlineStr">
        <is>
          <t>Used for interest coverage.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>
      <c r="A9" s="9" t="inlineStr">
        <is>
          <t>Interest Expense</t>
        </is>
      </c>
      <c r="B9" s="1">
        <f>Assumptions!B21</f>
        <v/>
      </c>
      <c r="C9" s="1" t="n"/>
      <c r="D9" s="49" t="inlineStr">
        <is>
          <t>Annual interest cost.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>
      <c r="A10" s="9" t="inlineStr">
        <is>
          <t>Interest Coverage</t>
        </is>
      </c>
      <c r="B10" s="1">
        <f>B8/B9</f>
        <v/>
      </c>
      <c r="C10" s="1">
        <f>IF(B10&gt;6,"Strong",IF(B10&gt;=3,"Watch","Risky"))</f>
        <v/>
      </c>
      <c r="D10" s="49" t="inlineStr">
        <is>
          <t>&gt;6x strong; 3–6x watch; &lt;3x risky.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>
      <c r="A11" s="9" t="inlineStr">
        <is>
          <t>Current Assets</t>
        </is>
      </c>
      <c r="B11" s="1">
        <f>Assumptions!B22</f>
        <v/>
      </c>
      <c r="C11" s="1" t="n"/>
      <c r="D11" s="49" t="inlineStr">
        <is>
          <t>Liquid/near-term assets.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9" t="inlineStr">
        <is>
          <t>Current Liabilities</t>
        </is>
      </c>
      <c r="B12" s="1">
        <f>Assumptions!B23</f>
        <v/>
      </c>
      <c r="C12" s="1" t="n"/>
      <c r="D12" s="49" t="inlineStr">
        <is>
          <t>Near-term liabilities.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>
      <c r="A13" s="9" t="inlineStr">
        <is>
          <t>Current Ratio</t>
        </is>
      </c>
      <c r="B13" s="1">
        <f>B11/B12</f>
        <v/>
      </c>
      <c r="C13" s="1">
        <f>IF(B13&gt;1.5,"Strong",IF(B13&gt;=1,"Watch","Risky"))</f>
        <v/>
      </c>
      <c r="D13" s="49" t="inlineStr">
        <is>
          <t>&gt;1.5x strong; 1.0–1.5x watch; &lt;1.0x potential liquidity issue.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>
      <c r="A16" s="45" t="inlineStr">
        <is>
          <t>Safety ratio interpretation guide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2" t="inlineStr">
        <is>
          <t>Ratio</t>
        </is>
      </c>
      <c r="B17" s="2" t="inlineStr">
        <is>
          <t>Stronger</t>
        </is>
      </c>
      <c r="C17" s="2" t="inlineStr">
        <is>
          <t>Watch</t>
        </is>
      </c>
      <c r="D17" s="2" t="inlineStr">
        <is>
          <t>Risky</t>
        </is>
      </c>
      <c r="E17" s="2" t="inlineStr">
        <is>
          <t>Important context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36" customHeight="1">
      <c r="A18" s="4" t="inlineStr">
        <is>
          <t>Net Debt / EBITDA</t>
        </is>
      </c>
      <c r="B18" s="4" t="inlineStr">
        <is>
          <t>&lt; 2.0x</t>
        </is>
      </c>
      <c r="C18" s="4" t="inlineStr">
        <is>
          <t>2.0x – 4.0x</t>
        </is>
      </c>
      <c r="D18" s="4" t="inlineStr">
        <is>
          <t>&gt; 4.0x</t>
        </is>
      </c>
      <c r="E18" s="4" t="inlineStr">
        <is>
          <t>Stable utilities can support more leverage; cyclicals usually need less.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36" customHeight="1">
      <c r="A19" s="4" t="inlineStr">
        <is>
          <t>Interest Coverage</t>
        </is>
      </c>
      <c r="B19" s="4" t="inlineStr">
        <is>
          <t>&gt; 6.0x</t>
        </is>
      </c>
      <c r="C19" s="4" t="inlineStr">
        <is>
          <t>3.0x – 6.0x</t>
        </is>
      </c>
      <c r="D19" s="4" t="inlineStr">
        <is>
          <t>&lt; 3.0x</t>
        </is>
      </c>
      <c r="E19" s="4" t="inlineStr">
        <is>
          <t>Rising rates or refinancing walls can worsen coverage quickly.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36" customHeight="1">
      <c r="A20" s="4" t="inlineStr">
        <is>
          <t>Current Ratio</t>
        </is>
      </c>
      <c r="B20" s="4" t="inlineStr">
        <is>
          <t>&gt; 1.5x</t>
        </is>
      </c>
      <c r="C20" s="4" t="inlineStr">
        <is>
          <t>1.0x – 1.5x</t>
        </is>
      </c>
      <c r="D20" s="4" t="inlineStr">
        <is>
          <t>&lt; 1.0x</t>
        </is>
      </c>
      <c r="E20" s="4" t="inlineStr">
        <is>
          <t>Inventory-heavy firms can look safer than they are if inventory is slow-moving.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36" customHeight="1">
      <c r="A21" s="4" t="inlineStr">
        <is>
          <t>FCF Conversion</t>
        </is>
      </c>
      <c r="B21" s="4" t="inlineStr">
        <is>
          <t>&gt; 80% of net income</t>
        </is>
      </c>
      <c r="C21" s="4" t="inlineStr">
        <is>
          <t>50% – 80%</t>
        </is>
      </c>
      <c r="D21" s="4" t="inlineStr">
        <is>
          <t>&lt; 50%</t>
        </is>
      </c>
      <c r="E21" s="4" t="inlineStr">
        <is>
          <t>Weak conversion can mean earnings are not turning into cash.</t>
        </is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4" customHeight="1">
      <c r="A22" s="4" t="inlineStr">
        <is>
          <t>Debt Maturity Wall</t>
        </is>
      </c>
      <c r="B22" s="4" t="inlineStr">
        <is>
          <t>Staggered</t>
        </is>
      </c>
      <c r="C22" s="4" t="inlineStr">
        <is>
          <t>Some concentration</t>
        </is>
      </c>
      <c r="D22" s="4" t="inlineStr">
        <is>
          <t>Large near-term maturity</t>
        </is>
      </c>
      <c r="E22" s="4" t="inlineStr">
        <is>
          <t>High refinancing needs can create equity risk.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</sheetData>
  <mergeCells count="3">
    <mergeCell ref="A16:H16"/>
    <mergeCell ref="A3:D3"/>
    <mergeCell ref="A1:H1"/>
  </mergeCells>
  <conditionalFormatting sqref="B7:B13">
    <cfRule type="dataBar" priority="1">
      <dataBar>
        <cfvo type="min"/>
        <cfvo type="max"/>
        <color rgb="FF94A3B8"/>
      </dataBar>
    </cfRule>
    <cfRule type="dataBar" priority="2">
      <dataBar>
        <cfvo type="min"/>
        <cfvo type="max"/>
        <color rgb="FF94A3B8"/>
      </dataBar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4.25"/>
  <cols>
    <col width="22" customWidth="1" min="1" max="1"/>
    <col width="36" customWidth="1" min="2" max="2"/>
    <col width="34" customWidth="1" min="3" max="4"/>
    <col width="30" customWidth="1" min="5" max="5"/>
    <col width="38" customWidth="1" min="6" max="6"/>
  </cols>
  <sheetData>
    <row r="1" ht="18" customHeight="1">
      <c r="A1" s="44" t="inlineStr">
        <is>
          <t>Modern Valuation Checklist</t>
        </is>
      </c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>
      <c r="A3" s="45" t="inlineStr">
        <is>
          <t>Checklist for evaluating a stock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2" t="inlineStr">
        <is>
          <t>Area</t>
        </is>
      </c>
      <c r="B4" s="2" t="inlineStr">
        <is>
          <t>Question</t>
        </is>
      </c>
      <c r="C4" s="2" t="inlineStr">
        <is>
          <t>Good sign</t>
        </is>
      </c>
      <c r="D4" s="2" t="inlineStr">
        <is>
          <t>Red flag</t>
        </is>
      </c>
      <c r="E4" s="2" t="inlineStr">
        <is>
          <t>Calculation</t>
        </is>
      </c>
      <c r="F4" s="2" t="inlineStr">
        <is>
          <t>Tip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4" customHeight="1">
      <c r="A5" s="4" t="inlineStr">
        <is>
          <t>Value</t>
        </is>
      </c>
      <c r="B5" s="4" t="inlineStr">
        <is>
          <t>Is the stock cheap relative to durable cash flow?</t>
        </is>
      </c>
      <c r="C5" s="4" t="inlineStr">
        <is>
          <t>FCF yield comfortably above required return after growth context.</t>
        </is>
      </c>
      <c r="D5" s="4" t="inlineStr">
        <is>
          <t>Low FCF yield with weak or slowing growth.</t>
        </is>
      </c>
      <c r="E5" s="4" t="inlineStr">
        <is>
          <t>FCF Yield = FCF ÷ Market Cap</t>
        </is>
      </c>
      <c r="F5" s="4" t="inlineStr">
        <is>
          <t>Use FCF, not just EPS.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4" customHeight="1">
      <c r="A6" s="4" t="inlineStr">
        <is>
          <t>Value</t>
        </is>
      </c>
      <c r="B6" s="4" t="inlineStr">
        <is>
          <t>Do multiple methods point to similar value?</t>
        </is>
      </c>
      <c r="C6" s="4" t="inlineStr">
        <is>
          <t>DCF, multiples, and residual income are directionally consistent.</t>
        </is>
      </c>
      <c r="D6" s="4" t="inlineStr">
        <is>
          <t>Only one aggressive method shows upside.</t>
        </is>
      </c>
      <c r="E6" s="4" t="inlineStr">
        <is>
          <t>Dashboard comparison</t>
        </is>
      </c>
      <c r="F6" s="4" t="inlineStr">
        <is>
          <t>Use a valuation range, not a single number.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4" customHeight="1">
      <c r="A7" s="4" t="inlineStr">
        <is>
          <t>Growth</t>
        </is>
      </c>
      <c r="B7" s="4" t="inlineStr">
        <is>
          <t>Is growth economically supported?</t>
        </is>
      </c>
      <c r="C7" s="4" t="inlineStr">
        <is>
          <t>Reinvestment × ROIC supports assumed growth.</t>
        </is>
      </c>
      <c r="D7" s="4" t="inlineStr">
        <is>
          <t>Growth depends only on multiple expansion.</t>
        </is>
      </c>
      <c r="E7" s="4" t="inlineStr">
        <is>
          <t>Growth ≈ Reinvestment Rate × ROIC</t>
        </is>
      </c>
      <c r="F7" s="4" t="inlineStr">
        <is>
          <t>Avoid paying for growth that destroys value.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4" customHeight="1">
      <c r="A8" s="4" t="inlineStr">
        <is>
          <t>Quality</t>
        </is>
      </c>
      <c r="B8" s="4" t="inlineStr">
        <is>
          <t>Does the company create value?</t>
        </is>
      </c>
      <c r="C8" s="4" t="inlineStr">
        <is>
          <t>ROIC is meaningfully above WACC.</t>
        </is>
      </c>
      <c r="D8" s="4" t="inlineStr">
        <is>
          <t>ROIC below WACC but management keeps expanding.</t>
        </is>
      </c>
      <c r="E8" s="4" t="inlineStr">
        <is>
          <t>ROIC − WACC</t>
        </is>
      </c>
      <c r="F8" s="4" t="inlineStr">
        <is>
          <t>High ROIC businesses deserve more attention.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>
      <c r="A9" s="4" t="inlineStr">
        <is>
          <t>Cash flow</t>
        </is>
      </c>
      <c r="B9" s="4" t="inlineStr">
        <is>
          <t>Are earnings converting to cash?</t>
        </is>
      </c>
      <c r="C9" s="4" t="inlineStr">
        <is>
          <t>FCF grows with earnings over time.</t>
        </is>
      </c>
      <c r="D9" s="4" t="inlineStr">
        <is>
          <t>Accounting earnings rise while cash flow lags.</t>
        </is>
      </c>
      <c r="E9" s="4" t="inlineStr">
        <is>
          <t>FCF / Net Income</t>
        </is>
      </c>
      <c r="F9" s="4" t="inlineStr">
        <is>
          <t>Watch working-capital swings.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4" customHeight="1">
      <c r="A10" s="4" t="inlineStr">
        <is>
          <t>Dilution</t>
        </is>
      </c>
      <c r="B10" s="4" t="inlineStr">
        <is>
          <t>Are shareholders actually getting per-share growth?</t>
        </is>
      </c>
      <c r="C10" s="4" t="inlineStr">
        <is>
          <t>FCF per share grows over time.</t>
        </is>
      </c>
      <c r="D10" s="4" t="inlineStr">
        <is>
          <t>Total FCF rises but share count rises just as fast.</t>
        </is>
      </c>
      <c r="E10" s="4" t="inlineStr">
        <is>
          <t>FCF/share growth</t>
        </is>
      </c>
      <c r="F10" s="4" t="inlineStr">
        <is>
          <t>Always check diluted shares.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4" customHeight="1">
      <c r="A11" s="4" t="inlineStr">
        <is>
          <t>Balance sheet</t>
        </is>
      </c>
      <c r="B11" s="4" t="inlineStr">
        <is>
          <t>Can the company survive a downturn?</t>
        </is>
      </c>
      <c r="C11" s="4" t="inlineStr">
        <is>
          <t>Low net leverage and high interest coverage.</t>
        </is>
      </c>
      <c r="D11" s="4" t="inlineStr">
        <is>
          <t>High leverage and near-term maturities.</t>
        </is>
      </c>
      <c r="E11" s="4" t="inlineStr">
        <is>
          <t>Net Debt/EBITDA; Interest Coverage</t>
        </is>
      </c>
      <c r="F11" s="4" t="inlineStr">
        <is>
          <t>Cheap stocks with weak balance sheets can stay cheap.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4" t="inlineStr">
        <is>
          <t>Margins</t>
        </is>
      </c>
      <c r="B12" s="4" t="inlineStr">
        <is>
          <t>Are margins durable?</t>
        </is>
      </c>
      <c r="C12" s="4" t="inlineStr">
        <is>
          <t>Stable/improving margins with pricing power.</t>
        </is>
      </c>
      <c r="D12" s="4" t="inlineStr">
        <is>
          <t>Margins boosted by temporary cost cuts.</t>
        </is>
      </c>
      <c r="E12" s="4" t="inlineStr">
        <is>
          <t>Gross/EBIT/FCF margin trend</t>
        </is>
      </c>
      <c r="F12" s="4" t="inlineStr">
        <is>
          <t>Compare to peers and prior cycles.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4" customHeight="1">
      <c r="A13" s="4" t="inlineStr">
        <is>
          <t>Moat</t>
        </is>
      </c>
      <c r="B13" s="4" t="inlineStr">
        <is>
          <t>Why does the company earn returns above peers?</t>
        </is>
      </c>
      <c r="C13" s="4" t="inlineStr">
        <is>
          <t>Switching costs, network effects, scale, brand, cost advantage.</t>
        </is>
      </c>
      <c r="D13" s="4" t="inlineStr">
        <is>
          <t>No clear advantage but premium valuation.</t>
        </is>
      </c>
      <c r="E13" s="4" t="inlineStr">
        <is>
          <t>ROIC stability</t>
        </is>
      </c>
      <c r="F13" s="4" t="inlineStr">
        <is>
          <t>Qualitative moat explains quantitative returns.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4" customHeight="1">
      <c r="A14" s="4" t="inlineStr">
        <is>
          <t>Management</t>
        </is>
      </c>
      <c r="B14" s="4" t="inlineStr">
        <is>
          <t>Are capital allocation decisions rational?</t>
        </is>
      </c>
      <c r="C14" s="4" t="inlineStr">
        <is>
          <t>Disciplined buybacks, reinvestment, and debt use.</t>
        </is>
      </c>
      <c r="D14" s="4" t="inlineStr">
        <is>
          <t>Buybacks at expensive prices while issuing stock comp.</t>
        </is>
      </c>
      <c r="E14" s="4" t="inlineStr">
        <is>
          <t>Buyback yield vs dilution</t>
        </is>
      </c>
      <c r="F14" s="4" t="inlineStr">
        <is>
          <t>Follow per-share results.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>
      <c r="A15" s="4" t="inlineStr">
        <is>
          <t>Cyclicality</t>
        </is>
      </c>
      <c r="B15" s="4" t="inlineStr">
        <is>
          <t>Are you valuing peak or trough earnings?</t>
        </is>
      </c>
      <c r="C15" s="4" t="inlineStr">
        <is>
          <t>Normalized earnings across cycle.</t>
        </is>
      </c>
      <c r="D15" s="4" t="inlineStr">
        <is>
          <t>Peak EPS makes stock look cheap.</t>
        </is>
      </c>
      <c r="E15" s="4" t="inlineStr">
        <is>
          <t>Normalized EV/EBITDA</t>
        </is>
      </c>
      <c r="F15" s="4" t="inlineStr">
        <is>
          <t>Use multi-year averages.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4" customHeight="1">
      <c r="A16" s="4" t="inlineStr">
        <is>
          <t>Sector fit</t>
        </is>
      </c>
      <c r="B16" s="4" t="inlineStr">
        <is>
          <t>Are you using the right model?</t>
        </is>
      </c>
      <c r="C16" s="4" t="inlineStr">
        <is>
          <t>Banks use residual/PB; software uses Rule of 40/DCF.</t>
        </is>
      </c>
      <c r="D16" s="4" t="inlineStr">
        <is>
          <t>Applying one formula to every business.</t>
        </is>
      </c>
      <c r="E16" s="4" t="inlineStr">
        <is>
          <t>Sector method map</t>
        </is>
      </c>
      <c r="F16" s="4" t="inlineStr">
        <is>
          <t>Choose metrics that match the business model.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>
      <c r="A19" s="45" t="inlineStr">
        <is>
          <t>Common calculation mistakes</t>
        </is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>
      <c r="A20" s="2" t="inlineStr">
        <is>
          <t>Mistake</t>
        </is>
      </c>
      <c r="B20" s="2" t="inlineStr">
        <is>
          <t>Why it matters</t>
        </is>
      </c>
      <c r="C20" s="2" t="inlineStr">
        <is>
          <t>Fix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4" customHeight="1">
      <c r="A21" s="4" t="inlineStr">
        <is>
          <t>Using Graham growth as decimal</t>
        </is>
      </c>
      <c r="B21" s="4" t="inlineStr">
        <is>
          <t>In the formula, 8% growth becomes 2g = 16, not 0.16.</t>
        </is>
      </c>
      <c r="C21" s="4" t="inlineStr">
        <is>
          <t>Use formula: 2 × growth rate × 100.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4" customHeight="1">
      <c r="A22" s="4" t="inlineStr">
        <is>
          <t>Ignoring terminal assumptions</t>
        </is>
      </c>
      <c r="B22" s="4" t="inlineStr">
        <is>
          <t>Most DCF value often comes from the terminal value.</t>
        </is>
      </c>
      <c r="C22" s="4" t="inlineStr">
        <is>
          <t>Stress test discount rate and terminal growth.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4" customHeight="1">
      <c r="A23" s="4" t="inlineStr">
        <is>
          <t>Using EBITDA when CapEx is heavy</t>
        </is>
      </c>
      <c r="B23" s="4" t="inlineStr">
        <is>
          <t>EBITDA can overstate cash generation.</t>
        </is>
      </c>
      <c r="C23" s="4" t="inlineStr">
        <is>
          <t>Check FCF and maintenance CapEx.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4" customHeight="1">
      <c r="A24" s="4" t="inlineStr">
        <is>
          <t>Forgetting net debt</t>
        </is>
      </c>
      <c r="B24" s="4" t="inlineStr">
        <is>
          <t>Enterprise-value methods value the whole business.</t>
        </is>
      </c>
      <c r="C24" s="4" t="inlineStr">
        <is>
          <t>Subtract net debt before dividing by shares.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4" customHeight="1">
      <c r="A25" s="4" t="inlineStr">
        <is>
          <t>Ignoring dilution</t>
        </is>
      </c>
      <c r="B25" s="4" t="inlineStr">
        <is>
          <t>Company growth may not equal shareholder growth.</t>
        </is>
      </c>
      <c r="C25" s="4" t="inlineStr">
        <is>
          <t>Track FCF per diluted share.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4" customHeight="1">
      <c r="A26" s="4" t="inlineStr">
        <is>
          <t>Comparing P/E across unrelated sectors</t>
        </is>
      </c>
      <c r="B26" s="4" t="inlineStr">
        <is>
          <t>Different sectors deserve different multiples.</t>
        </is>
      </c>
      <c r="C26" s="4" t="inlineStr">
        <is>
          <t>Compare peers with similar margins, growth, and risks.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</sheetData>
  <mergeCells count="3">
    <mergeCell ref="A3:F3"/>
    <mergeCell ref="A19:F19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4.25"/>
  <cols>
    <col width="28" customWidth="1" min="1" max="1"/>
    <col width="34" customWidth="1" min="2" max="2"/>
    <col width="70" customWidth="1" min="3" max="3"/>
    <col width="48" customWidth="1" min="4" max="4"/>
    <col width="18" customWidth="1" min="5" max="5"/>
  </cols>
  <sheetData>
    <row r="1" ht="18" customHeight="1">
      <c r="A1" s="44" t="inlineStr">
        <is>
          <t>Sources, Methodology Notes, and Data Hygiene</t>
        </is>
      </c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84" customHeight="1">
      <c r="A3" s="46" t="inlineStr">
        <is>
          <t>No company-specific data has been sourced in this workbook. Example inputs are placeholders. Replace them with the latest company filings, investor presentations, and reliable market data before using the calculations.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>
      <c r="A5" s="45" t="inlineStr">
        <is>
          <t>Reference links for formulas and concepts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>
      <c r="A6" s="2" t="inlineStr">
        <is>
          <t>Topic</t>
        </is>
      </c>
      <c r="B6" s="2" t="inlineStr">
        <is>
          <t>Reference</t>
        </is>
      </c>
      <c r="C6" s="2" t="inlineStr">
        <is>
          <t>URL</t>
        </is>
      </c>
      <c r="D6" s="2" t="inlineStr">
        <is>
          <t>Notes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>
      <c r="A7" s="4" t="inlineStr">
        <is>
          <t>Graham growth formula</t>
        </is>
      </c>
      <c r="B7" s="4" t="inlineStr">
        <is>
          <t>GrahamValue explanation</t>
        </is>
      </c>
      <c r="C7" s="4" t="inlineStr">
        <is>
          <t>https://www.grahamvalue.com/article/understanding-benjamin-graham-formula-correctly</t>
        </is>
      </c>
      <c r="D7" s="4" t="inlineStr">
        <is>
          <t>Use as a historical screening formula, not a standalone valuation.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4" customHeight="1">
      <c r="A8" s="4" t="inlineStr">
        <is>
          <t>Free cash flow valuation</t>
        </is>
      </c>
      <c r="B8" s="4" t="inlineStr">
        <is>
          <t>CFA Institute refresher reading</t>
        </is>
      </c>
      <c r="C8" s="4" t="inlineStr">
        <is>
          <t>https://www.cfainstitute.org/insights/professional-learning/refresher-readings/free-cash-flow-valuation</t>
        </is>
      </c>
      <c r="D8" s="4" t="inlineStr">
        <is>
          <t>DCF and free cash flow model concepts.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4" customHeight="1">
      <c r="A9" s="4" t="inlineStr">
        <is>
          <t>Residual income valuation</t>
        </is>
      </c>
      <c r="B9" s="4" t="inlineStr">
        <is>
          <t>CFA Institute refresher reading</t>
        </is>
      </c>
      <c r="C9" s="4" t="inlineStr">
        <is>
          <t>https://www.cfainstitute.org/insights/professional-learning/refresher-readings/residual-income-valuation</t>
        </is>
      </c>
      <c r="D9" s="4" t="inlineStr">
        <is>
          <t>Useful for book-value-heavy businesses.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4" customHeight="1">
      <c r="A10" s="4" t="inlineStr">
        <is>
          <t>Equity valuation approaches</t>
        </is>
      </c>
      <c r="B10" s="4" t="inlineStr">
        <is>
          <t>CFA Institute refresher reading</t>
        </is>
      </c>
      <c r="C10" s="4" t="inlineStr">
        <is>
          <t>https://www.cfainstitute.org/insights/professional-learning/refresher-readings/equity-valuation-applications-and-processes</t>
        </is>
      </c>
      <c r="D10" s="4" t="inlineStr">
        <is>
          <t>Overview of absolute, relative, and sum-of-parts valuation.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4" customHeight="1">
      <c r="A11" s="4" t="inlineStr">
        <is>
          <t>Financial ratios</t>
        </is>
      </c>
      <c r="B11" s="4" t="inlineStr">
        <is>
          <t>FINRA investor education</t>
        </is>
      </c>
      <c r="C11" s="4" t="inlineStr">
        <is>
          <t>https://www.finra.org/investors/insights/financial-performance-metrics-every-investor-should-know</t>
        </is>
      </c>
      <c r="D11" s="4" t="inlineStr">
        <is>
          <t>Basic ratio definitions and investor context.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4" t="inlineStr">
        <is>
          <t>AAA corporate bond yield</t>
        </is>
      </c>
      <c r="B12" s="4" t="inlineStr">
        <is>
          <t>FRED DAAA series</t>
        </is>
      </c>
      <c r="C12" s="4" t="inlineStr">
        <is>
          <t>https://fred.stlouisfed.org/series/DAAA</t>
        </is>
      </c>
      <c r="D12" s="4" t="inlineStr">
        <is>
          <t>Use for the current AAA yield in the adjusted Graham formula.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4" customHeight="1">
      <c r="A13" s="4" t="inlineStr">
        <is>
          <t>U.S. 10-year Treasury</t>
        </is>
      </c>
      <c r="B13" s="4" t="inlineStr">
        <is>
          <t>FRED GS10 series</t>
        </is>
      </c>
      <c r="C13" s="4" t="inlineStr">
        <is>
          <t>https://fred.stlouisfed.org/series/GS10</t>
        </is>
      </c>
      <c r="D13" s="4" t="inlineStr">
        <is>
          <t>Useful benchmark for required returns and equity risk premium context.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4" customHeight="1">
      <c r="A14" s="4" t="inlineStr">
        <is>
          <t>SaaS Rule of 40</t>
        </is>
      </c>
      <c r="B14" s="4" t="inlineStr">
        <is>
          <t>McKinsey article</t>
        </is>
      </c>
      <c r="C14" s="4" t="inlineStr">
        <is>
          <t>https://www.mckinsey.com/industries/technology-media-and-telecommunications/our-insights/saas-and-the-rule-of-40-keys-to-the-critical-value-creation-metric</t>
        </is>
      </c>
      <c r="D14" s="4" t="inlineStr">
        <is>
          <t>Growth + margin framework for software/SaaS businesses.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>
      <c r="A17" s="45" t="inlineStr">
        <is>
          <t>Data hygiene reminders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>
      <c r="A18" s="2" t="inlineStr">
        <is>
          <t>Input type</t>
        </is>
      </c>
      <c r="B18" s="2" t="inlineStr">
        <is>
          <t>Where to source</t>
        </is>
      </c>
      <c r="C18" s="2" t="inlineStr">
        <is>
          <t>Common mistake</t>
        </is>
      </c>
      <c r="D18" s="2" t="inlineStr">
        <is>
          <t>Reminder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4" customHeight="1">
      <c r="A19" s="4" t="inlineStr">
        <is>
          <t>EPS</t>
        </is>
      </c>
      <c r="B19" s="4" t="inlineStr">
        <is>
          <t>10-K/10-Q, earnings release, reliable data provider</t>
        </is>
      </c>
      <c r="C19" s="4" t="inlineStr">
        <is>
          <t>Using one-time gains/losses as normal earnings</t>
        </is>
      </c>
      <c r="D19" s="4" t="inlineStr">
        <is>
          <t>Normalize unusual items.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>
      <c r="A20" s="4" t="inlineStr">
        <is>
          <t>FCF</t>
        </is>
      </c>
      <c r="B20" s="4" t="inlineStr">
        <is>
          <t>Cash flow statement</t>
        </is>
      </c>
      <c r="C20" s="4" t="inlineStr">
        <is>
          <t>Ignoring stock-based compensation, working-capital swings, or maintenance CapEx</t>
        </is>
      </c>
      <c r="D20" s="4" t="inlineStr">
        <is>
          <t>Use consistent definition.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>
      <c r="A21" s="4" t="inlineStr">
        <is>
          <t>Debt and cash</t>
        </is>
      </c>
      <c r="B21" s="4" t="inlineStr">
        <is>
          <t>Balance sheet and footnotes</t>
        </is>
      </c>
      <c r="C21" s="4" t="inlineStr">
        <is>
          <t>Forgetting leases, preferred stock, or minority interest</t>
        </is>
      </c>
      <c r="D21" s="4" t="inlineStr">
        <is>
          <t>Enterprise value methods require net debt.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>
      <c r="A22" s="4" t="inlineStr">
        <is>
          <t>Shares</t>
        </is>
      </c>
      <c r="B22" s="4" t="inlineStr">
        <is>
          <t>Diluted shares from filings</t>
        </is>
      </c>
      <c r="C22" s="4" t="inlineStr">
        <is>
          <t>Using basic share count</t>
        </is>
      </c>
      <c r="D22" s="4" t="inlineStr">
        <is>
          <t>Per-share value uses diluted shares.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>
      <c r="A23" s="4" t="inlineStr">
        <is>
          <t>Growth</t>
        </is>
      </c>
      <c r="B23" s="4" t="inlineStr">
        <is>
          <t>Historical results, guidance, industry outlook</t>
        </is>
      </c>
      <c r="C23" s="4" t="inlineStr">
        <is>
          <t>Projecting high growth forever</t>
        </is>
      </c>
      <c r="D23" s="4" t="inlineStr">
        <is>
          <t>Fade growth toward a realistic terminal rate.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" customHeight="1">
      <c r="A24" s="4" t="inlineStr">
        <is>
          <t>Discount rate</t>
        </is>
      </c>
      <c r="B24" s="4" t="inlineStr">
        <is>
          <t>Market rates and risk assessment</t>
        </is>
      </c>
      <c r="C24" s="4" t="inlineStr">
        <is>
          <t>Using a rate that is too low for the risk</t>
        </is>
      </c>
      <c r="D24" s="4" t="inlineStr">
        <is>
          <t>Stress test required return.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</sheetData>
  <mergeCells count="4">
    <mergeCell ref="A1:E1"/>
    <mergeCell ref="A17:E17"/>
    <mergeCell ref="A5:E5"/>
    <mergeCell ref="A3:E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2026-06-01T23:12:23Z</dcterms:created>
  <dcterms:modified xmlns:dcterms="http://purl.org/dc/terms/" xmlns:xsi="http://www.w3.org/2001/XMLSchema-instance" xsi:type="dcterms:W3CDTF">2026-06-01T23:20:03Z</dcterms:modified>
  <cp:lastModifiedBy>Gerald Fillman</cp:lastModifiedBy>
</cp:coreProperties>
</file>